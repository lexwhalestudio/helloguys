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What We've Built" sheetId="2" state="visible" r:id="rId4"/>
    <sheet name="Free vs Premium" sheetId="3" state="visible" r:id="rId5"/>
    <sheet name="Coins &amp; Gems Economy" sheetId="4" state="visible" r:id="rId6"/>
    <sheet name="Shop Catalog" sheetId="5" state="visible" r:id="rId7"/>
    <sheet name="Chat &amp; Companion" sheetId="6" state="visible" r:id="rId8"/>
    <sheet name="Content Calendar" sheetId="7" state="visible" r:id="rId9"/>
    <sheet name="Revenue Assumptions" sheetId="8" state="visible" r:id="rId10"/>
    <sheet name="Financial Projections" sheetId="9" state="visible" r:id="rId11"/>
    <sheet name="Unit Economics" sheetId="10" state="visible" r:id="rId12"/>
    <sheet name="Target Audience &amp; Marketing" sheetId="11" state="visible" r:id="rId13"/>
    <sheet name="Roadmap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<sst xmlns="http://schemas.openxmlformats.org/spreadsheetml/2006/main" count="562" uniqueCount="488">
  <si>
    <t xml:space="preserve">Mystic Companion — Business Plan</t>
  </si>
  <si>
    <t xml:space="preserve">Zodiac companion app · tarot · moon calendar · collectible minerals · subscription + coins/gems economy</t>
  </si>
  <si>
    <t xml:space="preserve">The Pitch</t>
  </si>
  <si>
    <t xml:space="preserve">A daily-habit app for people who love astrology, tarot, and crystals — built around a personal Zodiac Companion that talks to you, reads for you, and grows with you. Free to start, funny and self-aware about the hustle, and monetized like a game: a subscription for depth, a coins-and-gems economy for the collector/gacha loop, and a premium Compatibility feature as the big unlock once you've told the app enough about yourself.</t>
  </si>
  <si>
    <t xml:space="preserve">Who This Is For</t>
  </si>
  <si>
    <t xml:space="preserve">Primary audience</t>
  </si>
  <si>
    <t xml:space="preserve">Women 18–34 into astrology, tarot, crystals, manifestation, witchy/cottagecore aesthetics — active on TikTok and Instagram.</t>
  </si>
  <si>
    <t xml:space="preserve">Secondary audience</t>
  </si>
  <si>
    <t xml:space="preserve">Anyone who reads their horoscope 'ironically' but checks it daily anyway; gift-givers buying a subscription for a friend.</t>
  </si>
  <si>
    <t xml:space="preserve">Tone</t>
  </si>
  <si>
    <t xml:space="preserve">Sincere enough to feel real, funny enough to admit it's a business. The companion breaks the fourth wall about money — that's the brand, not a bug.</t>
  </si>
  <si>
    <t xml:space="preserve">Comparable apps</t>
  </si>
  <si>
    <t xml:space="preserve">Co-Star, The Pattern, Sanctuary, Nebula — all proved the category. Our wedge is the game-like collection/currency layer and the companion-chat relationship none of them fully lean into.</t>
  </si>
  <si>
    <t xml:space="preserve">How This Workbook Is Organized</t>
  </si>
  <si>
    <t xml:space="preserve">What We've Built</t>
  </si>
  <si>
    <t xml:space="preserve">Status of the actual app scaffold already in the repo.</t>
  </si>
  <si>
    <t xml:space="preserve">Free vs Premium</t>
  </si>
  <si>
    <t xml:space="preserve">Full feature matrix across the three tiers.</t>
  </si>
  <si>
    <t xml:space="preserve">Coins &amp; Gems Economy</t>
  </si>
  <si>
    <t xml:space="preserve">How the soft/hard currency loop works — earn and spend.</t>
  </si>
  <si>
    <t xml:space="preserve">Shop Catalog</t>
  </si>
  <si>
    <t xml:space="preserve">Every purchasable item, its price, and which currency it uses.</t>
  </si>
  <si>
    <t xml:space="preserve">Chat &amp; Companion</t>
  </si>
  <si>
    <t xml:space="preserve">The chat feature spec and its monetization.</t>
  </si>
  <si>
    <t xml:space="preserve">Content Calendar</t>
  </si>
  <si>
    <t xml:space="preserve">Daily/weekly/yearly content cadence and ownership.</t>
  </si>
  <si>
    <t xml:space="preserve">Revenue Assumptions</t>
  </si>
  <si>
    <t xml:space="preserve">Every input the financial model uses — edit these to re-run the plan.</t>
  </si>
  <si>
    <t xml:space="preserve">Financial Projections</t>
  </si>
  <si>
    <t xml:space="preserve">12-month revenue model driven by the assumptions.</t>
  </si>
  <si>
    <t xml:space="preserve">Unit Economics</t>
  </si>
  <si>
    <t xml:space="preserve">LTV, CAC, payback period.</t>
  </si>
  <si>
    <t xml:space="preserve">Target Audience &amp; Marketing</t>
  </si>
  <si>
    <t xml:space="preserve">Positioning, channels, competitor snapshot.</t>
  </si>
  <si>
    <t xml:space="preserve">Roadmap</t>
  </si>
  <si>
    <t xml:space="preserve">Build phases from today to a mature product.</t>
  </si>
  <si>
    <t xml:space="preserve">Status of the working app scaffold (React + Vite + Tailwind) already committed to the repo.</t>
  </si>
  <si>
    <t xml:space="preserve">Screen / System</t>
  </si>
  <si>
    <t xml:space="preserve">What it does</t>
  </si>
  <si>
    <t xml:space="preserve">Status</t>
  </si>
  <si>
    <t xml:space="preserve">Notes</t>
  </si>
  <si>
    <t xml:space="preserve">Onboarding</t>
  </si>
  <si>
    <t xml:space="preserve">Collects name + birth date, computes sun sign live</t>
  </si>
  <si>
    <t xml:space="preserve">Working</t>
  </si>
  <si>
    <t xml:space="preserve">Client-side only, no account system yet</t>
  </si>
  <si>
    <t xml:space="preserve">Home / Companion</t>
  </si>
  <si>
    <t xml:space="preserve">Greets user, shows free daily word + locked premium reading</t>
  </si>
  <si>
    <t xml:space="preserve">Working (mock content)</t>
  </si>
  <si>
    <t xml:space="preserve">12 signs of mock copy; needs real/AI-generated content pipeline</t>
  </si>
  <si>
    <t xml:space="preserve">Moon Calendar</t>
  </si>
  <si>
    <t xml:space="preserve">Real astronomical moon-phase math, current + next 4 major phases, ritual suggestion</t>
  </si>
  <si>
    <t xml:space="preserve">Working (real data)</t>
  </si>
  <si>
    <t xml:space="preserve">Genuinely accurate lunar math, not decorative</t>
  </si>
  <si>
    <t xml:space="preserve">Tarot</t>
  </si>
  <si>
    <t xml:space="preserve">Daily free single-card draw + premium 3-card spread</t>
  </si>
  <si>
    <t xml:space="preserve">Working (mock deck)</t>
  </si>
  <si>
    <t xml:space="preserve">12-card mock deck; needs full 78-card deck + real art</t>
  </si>
  <si>
    <t xml:space="preserve">Minerals</t>
  </si>
  <si>
    <t xml:space="preserve">Collectible grid, rarity tiers, premium-gated rares, undiscovered = '???'</t>
  </si>
  <si>
    <t xml:space="preserve">Working (mock data)</t>
  </si>
  <si>
    <t xml:space="preserve">10 mock minerals; this is the gacha/collection engine</t>
  </si>
  <si>
    <t xml:space="preserve">Compatibility</t>
  </si>
  <si>
    <t xml:space="preserve">Element-based compatibility score between two birth dates, gated behind Premium + Dossier completion</t>
  </si>
  <si>
    <t xml:space="preserve">Working (calculator only)</t>
  </si>
  <si>
    <t xml:space="preserve">Deliberately NOT user-to-user matching — see Roadmap</t>
  </si>
  <si>
    <t xml:space="preserve">Profile / Dossier</t>
  </si>
  <si>
    <t xml:space="preserve">Progressive personal-info form with a completion meter</t>
  </si>
  <si>
    <t xml:space="preserve">This is the funnel that unlocks Compatibility</t>
  </si>
  <si>
    <t xml:space="preserve">Upgrade / Paywall</t>
  </si>
  <si>
    <t xml:space="preserve">Three subscription tiers, in-voice copy, mock plan selector</t>
  </si>
  <si>
    <t xml:space="preserve">Working (no real payment)</t>
  </si>
  <si>
    <t xml:space="preserve">Needs Stripe Billing integration</t>
  </si>
  <si>
    <t xml:space="preserve">Companion Chat</t>
  </si>
  <si>
    <t xml:space="preserve">Chat with your Zodiac Companion</t>
  </si>
  <si>
    <t xml:space="preserve">Not built yet</t>
  </si>
  <si>
    <t xml:space="preserve">See 'Chat &amp; Companion' tab for full spec</t>
  </si>
  <si>
    <t xml:space="preserve">Coins &amp; Gems</t>
  </si>
  <si>
    <t xml:space="preserve">Dual-currency economy, shop, wallet</t>
  </si>
  <si>
    <t xml:space="preserve">See 'Coins &amp; Gems Economy' + 'Shop Catalog' tabs</t>
  </si>
  <si>
    <t xml:space="preserve">Backend / Accounts</t>
  </si>
  <si>
    <t xml:space="preserve">Real auth, database, cross-device sync</t>
  </si>
  <si>
    <t xml:space="preserve">Currently everything persists to browser localStorage only</t>
  </si>
  <si>
    <t xml:space="preserve">Payments</t>
  </si>
  <si>
    <t xml:space="preserve">Real subscription billing + gem-pack purchases</t>
  </si>
  <si>
    <t xml:space="preserve">Needs Stripe (web) and/or RevenueCat (if native mobile later)</t>
  </si>
  <si>
    <t xml:space="preserve">Tech Stack (current)</t>
  </si>
  <si>
    <t xml:space="preserve">Frontend</t>
  </si>
  <si>
    <t xml:space="preserve">React 19 + TypeScript + Vite, Tailwind CSS v4, React Router</t>
  </si>
  <si>
    <t xml:space="preserve">State</t>
  </si>
  <si>
    <t xml:space="preserve">React Context + localStorage (placeholder until a real backend exists)</t>
  </si>
  <si>
    <t xml:space="preserve">Platform</t>
  </si>
  <si>
    <t xml:space="preserve">Web app / PWA first — simpler billing via Stripe, fastest to iterate, wraps into React Native later if native mobile is worth it</t>
  </si>
  <si>
    <t xml:space="preserve">Free vs Premium — Feature Matrix</t>
  </si>
  <si>
    <t xml:space="preserve">Three tiers: Apprentice (free), Mystic, Oracle. This is the paywall map for the whole product.</t>
  </si>
  <si>
    <t xml:space="preserve">Feature</t>
  </si>
  <si>
    <t xml:space="preserve">Apprentice (Free)</t>
  </si>
  <si>
    <t xml:space="preserve">Mystic — $4.99/mo</t>
  </si>
  <si>
    <t xml:space="preserve">Oracle — $9.99/mo</t>
  </si>
  <si>
    <t xml:space="preserve">Daily word (short)</t>
  </si>
  <si>
    <t xml:space="preserve">Yes</t>
  </si>
  <si>
    <t xml:space="preserve">Daily reading (full/deep)</t>
  </si>
  <si>
    <t xml:space="preserve">No</t>
  </si>
  <si>
    <t xml:space="preserve">Weekly theme reading</t>
  </si>
  <si>
    <t xml:space="preserve">Yearly forecast</t>
  </si>
  <si>
    <t xml:space="preserve">Buy with Gems (one-time)</t>
  </si>
  <si>
    <t xml:space="preserve">Buy with Gems (discounted)</t>
  </si>
  <si>
    <t xml:space="preserve">Included</t>
  </si>
  <si>
    <t xml:space="preserve">Moon calendar + phase tracking</t>
  </si>
  <si>
    <t xml:space="preserve">Moon ritual suggestions</t>
  </si>
  <si>
    <t xml:space="preserve">Basic</t>
  </si>
  <si>
    <t xml:space="preserve">Full</t>
  </si>
  <si>
    <t xml:space="preserve">Full + reminders</t>
  </si>
  <si>
    <t xml:space="preserve">Tarot: daily single card</t>
  </si>
  <si>
    <t xml:space="preserve">Tarot: 3-card spread</t>
  </si>
  <si>
    <t xml:space="preserve">Tarot: Celtic Cross spread</t>
  </si>
  <si>
    <t xml:space="preserve">Mineral pulls — Common/Uncommon</t>
  </si>
  <si>
    <t xml:space="preserve">Yes, via Coins</t>
  </si>
  <si>
    <t xml:space="preserve">Yes, faster drop rate</t>
  </si>
  <si>
    <t xml:space="preserve">Mineral pulls — Rare/Legendary</t>
  </si>
  <si>
    <t xml:space="preserve">Gems only</t>
  </si>
  <si>
    <t xml:space="preserve">Gems (discounted)</t>
  </si>
  <si>
    <t xml:space="preserve">1 guaranteed Rare+ pull/month included</t>
  </si>
  <si>
    <t xml:space="preserve">Companion chat</t>
  </si>
  <si>
    <t xml:space="preserve">3 messages/day</t>
  </si>
  <si>
    <t xml:space="preserve">30 messages/day</t>
  </si>
  <si>
    <t xml:space="preserve">Unlimited</t>
  </si>
  <si>
    <t xml:space="preserve">Compatibility calculator</t>
  </si>
  <si>
    <t xml:space="preserve">Locked until Dossier ≥ 50%</t>
  </si>
  <si>
    <t xml:space="preserve">1 reading/day</t>
  </si>
  <si>
    <t xml:space="preserve">Cosmetic companion customization</t>
  </si>
  <si>
    <t xml:space="preserve">Common only, via Coins</t>
  </si>
  <si>
    <t xml:space="preserve">Uncommon+, via Coins/Gems</t>
  </si>
  <si>
    <t xml:space="preserve">Exclusive skins included</t>
  </si>
  <si>
    <t xml:space="preserve">Ads</t>
  </si>
  <si>
    <t xml:space="preserve">Yes (banner + optional rewarded)</t>
  </si>
  <si>
    <t xml:space="preserve">None</t>
  </si>
  <si>
    <t xml:space="preserve">Monthly Gem stipend</t>
  </si>
  <si>
    <t xml:space="preserve">0</t>
  </si>
  <si>
    <t xml:space="preserve">300 Gems</t>
  </si>
  <si>
    <t xml:space="preserve">800 Gems</t>
  </si>
  <si>
    <t xml:space="preserve">Shareable daily-word cards</t>
  </si>
  <si>
    <t xml:space="preserve">Yes (this is free user-acquisition)</t>
  </si>
  <si>
    <t xml:space="preserve">Yes, extra templates</t>
  </si>
  <si>
    <t xml:space="preserve">Why the Paywall Sits Where It Does</t>
  </si>
  <si>
    <t xml:space="preserve">• Compatibility is gated behind BOTH Premium and a completed Dossier — completing your profile is free and fun, and it's also exactly the data that makes Compatibility (and future personalization) good. The paywall arrives right when the payoff is biggest.</t>
  </si>
  <si>
    <t xml:space="preserve">• The free tier is generous on breadth (every feature exists for free users in some form) but shallow on depth — this keeps free users engaged and sharing (acquisition) while the 'more/better/faster' upsell stays constant and visible, never a hard wall.</t>
  </si>
  <si>
    <t xml:space="preserve">• Rare/Legendary minerals are real-money-adjacent (Gems) even for subscribers, because collectible rarity is the single strongest whale-monetization lever in the whole product — protect it.</t>
  </si>
  <si>
    <t xml:space="preserve">Dual-currency system, standard for collectible/gacha-style mobile games. Coins = earned, soft currency. Gems = premium, hard currency.</t>
  </si>
  <si>
    <t xml:space="preserve">🪙 Coins — how you earn them</t>
  </si>
  <si>
    <t xml:space="preserve">Action</t>
  </si>
  <si>
    <t xml:space="preserve">Coins Earned</t>
  </si>
  <si>
    <t xml:space="preserve">Purpose</t>
  </si>
  <si>
    <t xml:space="preserve">Daily login</t>
  </si>
  <si>
    <t xml:space="preserve">10</t>
  </si>
  <si>
    <t xml:space="preserve">Baseline habit reward</t>
  </si>
  <si>
    <t xml:space="preserve">Complete daily tarot draw</t>
  </si>
  <si>
    <t xml:space="preserve">5</t>
  </si>
  <si>
    <t xml:space="preserve">Reinforces daily open</t>
  </si>
  <si>
    <t xml:space="preserve">Complete daily horoscope read</t>
  </si>
  <si>
    <t xml:space="preserve">7-day login streak bonus</t>
  </si>
  <si>
    <t xml:space="preserve">50</t>
  </si>
  <si>
    <t xml:space="preserve">Retention — protects the streak</t>
  </si>
  <si>
    <t xml:space="preserve">Fill one Dossier field (one-time each)</t>
  </si>
  <si>
    <t xml:space="preserve">25</t>
  </si>
  <si>
    <t xml:space="preserve">Drives profile completion → Compatibility funnel</t>
  </si>
  <si>
    <t xml:space="preserve">Share a daily-word card socially</t>
  </si>
  <si>
    <t xml:space="preserve">15</t>
  </si>
  <si>
    <t xml:space="preserve">Free user acquisition, paid in Coins not cash</t>
  </si>
  <si>
    <t xml:space="preserve">Weekly quest completion</t>
  </si>
  <si>
    <t xml:space="preserve">30–75</t>
  </si>
  <si>
    <t xml:space="preserve">Weekly re-engagement loop</t>
  </si>
  <si>
    <t xml:space="preserve">Watch a rewarded ad (free users only)</t>
  </si>
  <si>
    <t xml:space="preserve">20</t>
  </si>
  <si>
    <t xml:space="preserve">Optional monetization for non-payers</t>
  </si>
  <si>
    <t xml:space="preserve">Refer a friend who signs up</t>
  </si>
  <si>
    <t xml:space="preserve">100</t>
  </si>
  <si>
    <t xml:space="preserve">Growth loop</t>
  </si>
  <si>
    <t xml:space="preserve">🪙 Coins — what you spend them on</t>
  </si>
  <si>
    <t xml:space="preserve">Item</t>
  </si>
  <si>
    <t xml:space="preserve">Coin Cost</t>
  </si>
  <si>
    <t xml:space="preserve">Extra tarot draw (beyond daily free one)</t>
  </si>
  <si>
    <t xml:space="preserve">30</t>
  </si>
  <si>
    <t xml:space="preserve">Small, frequent sink</t>
  </si>
  <si>
    <t xml:space="preserve">Common/Uncommon mineral pack pull</t>
  </si>
  <si>
    <t xml:space="preserve">Core collection loop for free users</t>
  </si>
  <si>
    <t xml:space="preserve">Extra companion chat messages</t>
  </si>
  <si>
    <t xml:space="preserve">10 / message (or 100 = 15 msgs)</t>
  </si>
  <si>
    <t xml:space="preserve">Bundle discourages micro-spending friction</t>
  </si>
  <si>
    <t xml:space="preserve">Companion cosmetic — common tier</t>
  </si>
  <si>
    <t xml:space="preserve">150</t>
  </si>
  <si>
    <t xml:space="preserve">Self-expression sink</t>
  </si>
  <si>
    <t xml:space="preserve">Skip a moon-event wait timer</t>
  </si>
  <si>
    <t xml:space="preserve">40</t>
  </si>
  <si>
    <t xml:space="preserve">Classic mobile-game patience sink</t>
  </si>
  <si>
    <t xml:space="preserve">Extra Compatibility calculation (Free/Mystic cap)</t>
  </si>
  <si>
    <t xml:space="preserve">Cheap enough to feel fair, frequent enough to add up</t>
  </si>
  <si>
    <t xml:space="preserve">💎 Gems — how you get them</t>
  </si>
  <si>
    <t xml:space="preserve">Source</t>
  </si>
  <si>
    <t xml:space="preserve">Amount</t>
  </si>
  <si>
    <t xml:space="preserve">Purchased (see Shop Catalog tab for packs)</t>
  </si>
  <si>
    <t xml:space="preserve">Varies</t>
  </si>
  <si>
    <t xml:space="preserve">Primary IAP revenue driver</t>
  </si>
  <si>
    <t xml:space="preserve">Mystic subscription</t>
  </si>
  <si>
    <t xml:space="preserve">300 / month, auto-granted</t>
  </si>
  <si>
    <t xml:space="preserve">Makes the subscription feel like more than a paywall key</t>
  </si>
  <si>
    <t xml:space="preserve">Oracle subscription</t>
  </si>
  <si>
    <t xml:space="preserve">800 / month, auto-granted</t>
  </si>
  <si>
    <t xml:space="preserve">Also unlocks the guaranteed monthly Rare+ pull</t>
  </si>
  <si>
    <t xml:space="preserve">Rare achievement milestones (e.g. full mineral set)</t>
  </si>
  <si>
    <t xml:space="preserve">50–200</t>
  </si>
  <si>
    <t xml:space="preserve">Small free drip to keep non-payers engaged with the Gem economy</t>
  </si>
  <si>
    <t xml:space="preserve">💎 Gems — what you spend them on</t>
  </si>
  <si>
    <t xml:space="preserve">Gem Cost</t>
  </si>
  <si>
    <t xml:space="preserve">Rare mineral pack pull</t>
  </si>
  <si>
    <t xml:space="preserve">Guaranteed Uncommon+, chance of Rare</t>
  </si>
  <si>
    <t xml:space="preserve">Legendary mineral pack pull</t>
  </si>
  <si>
    <t xml:space="preserve">400</t>
  </si>
  <si>
    <t xml:space="preserve">Guaranteed Rare+, chance of Legendary — the whale item</t>
  </si>
  <si>
    <t xml:space="preserve">Companion persona / skin — rare tier</t>
  </si>
  <si>
    <t xml:space="preserve">500</t>
  </si>
  <si>
    <t xml:space="preserve">Cosmetic, no gameplay effect — safe monetization</t>
  </si>
  <si>
    <t xml:space="preserve">One-time full natal chart deep report</t>
  </si>
  <si>
    <t xml:space="preserve">300</t>
  </si>
  <si>
    <t xml:space="preserve">High perceived value, low marginal cost to deliver</t>
  </si>
  <si>
    <t xml:space="preserve">Yearly forecast (non-Oracle one-time unlock)</t>
  </si>
  <si>
    <t xml:space="preserve">600</t>
  </si>
  <si>
    <t xml:space="preserve">Lets Free/Mystic users buy the Oracle-exclusive anchor product without subscribing</t>
  </si>
  <si>
    <t xml:space="preserve">Extra Compatibility reading (beyond tier quota)</t>
  </si>
  <si>
    <t xml:space="preserve">Same sink as Coins, priced for impatience</t>
  </si>
  <si>
    <t xml:space="preserve">Unlimited chat pass — 30 days (non-subscribers)</t>
  </si>
  <si>
    <t xml:space="preserve">450</t>
  </si>
  <si>
    <t xml:space="preserve">Lets a non-subscriber buy just the chat habit</t>
  </si>
  <si>
    <t xml:space="preserve">Remove ads permanently</t>
  </si>
  <si>
    <t xml:space="preserve">250</t>
  </si>
  <si>
    <t xml:space="preserve">One-time, appeals to free users who will never subscribe</t>
  </si>
  <si>
    <t xml:space="preserve">Note: all costs above are illustrative starting points, not tested pricing — tune against real conversion data once the app has users. Source: designed for this plan, not benchmarked against a live competitor's exact numbers.</t>
  </si>
  <si>
    <t xml:space="preserve">What's actually for sale, in real money, and the effective price per Gem/Coin at each pack size (bigger packs = better value, standard mobile-game structure).</t>
  </si>
  <si>
    <t xml:space="preserve">💎 Gem Packs (real-money purchase)</t>
  </si>
  <si>
    <t xml:space="preserve">Pack Name</t>
  </si>
  <si>
    <t xml:space="preserve">Gems</t>
  </si>
  <si>
    <t xml:space="preserve">Bonus</t>
  </si>
  <si>
    <t xml:space="preserve">Price (USD)</t>
  </si>
  <si>
    <t xml:space="preserve">Effective $ per 100 Gems</t>
  </si>
  <si>
    <t xml:space="preserve">Spark</t>
  </si>
  <si>
    <t xml:space="preserve">—</t>
  </si>
  <si>
    <t xml:space="preserve">Glow</t>
  </si>
  <si>
    <t xml:space="preserve">+10%</t>
  </si>
  <si>
    <t xml:space="preserve">Radiance</t>
  </si>
  <si>
    <t xml:space="preserve">+20%</t>
  </si>
  <si>
    <t xml:space="preserve">Aura</t>
  </si>
  <si>
    <t xml:space="preserve">+25%</t>
  </si>
  <si>
    <t xml:space="preserve">Ascendant</t>
  </si>
  <si>
    <t xml:space="preserve">+30%</t>
  </si>
  <si>
    <t xml:space="preserve">🪙 Coin Bundles (real-money purchase, for impatient free users)</t>
  </si>
  <si>
    <t xml:space="preserve">Coins</t>
  </si>
  <si>
    <t xml:space="preserve">Effective $ per 1,000 Coins</t>
  </si>
  <si>
    <t xml:space="preserve">Pouch</t>
  </si>
  <si>
    <t xml:space="preserve">Satchel</t>
  </si>
  <si>
    <t xml:space="preserve">+15%</t>
  </si>
  <si>
    <t xml:space="preserve">Chest</t>
  </si>
  <si>
    <t xml:space="preserve">🔔 Subscription Plans (recap — see 'Free vs Premium' for full feature detail)</t>
  </si>
  <si>
    <t xml:space="preserve">Plan</t>
  </si>
  <si>
    <t xml:space="preserve">Price / Month</t>
  </si>
  <si>
    <t xml:space="preserve">Price / Year</t>
  </si>
  <si>
    <t xml:space="preserve">Gem Stipend / Month</t>
  </si>
  <si>
    <t xml:space="preserve">Positioning</t>
  </si>
  <si>
    <t xml:space="preserve">Apprentice</t>
  </si>
  <si>
    <t xml:space="preserve">Free</t>
  </si>
  <si>
    <t xml:space="preserve">The stars, on a budget.</t>
  </si>
  <si>
    <t xml:space="preserve">Mystic</t>
  </si>
  <si>
    <t xml:space="preserve">$4.99</t>
  </si>
  <si>
    <t xml:space="preserve">$47.99 (−20%)</t>
  </si>
  <si>
    <t xml:space="preserve">For the mildly obsessed.</t>
  </si>
  <si>
    <t xml:space="preserve">Oracle</t>
  </si>
  <si>
    <t xml:space="preserve">$9.99</t>
  </si>
  <si>
    <t xml:space="preserve">$95.99 (−20%)</t>
  </si>
  <si>
    <t xml:space="preserve">800</t>
  </si>
  <si>
    <t xml:space="preserve">For those who have made peace with it.</t>
  </si>
  <si>
    <t xml:space="preserve">Blue cells (Price USD columns) are editable pricing inputs — the effective-value column recalculates automatically. Annual prices assume a standard 20% loyalty discount vs. paying monthly.</t>
  </si>
  <si>
    <t xml:space="preserve">The feature that turns 'an app I open' into 'someone I talk to.' Biggest engagement lever in the product — spec it well.</t>
  </si>
  <si>
    <t xml:space="preserve">What It Is</t>
  </si>
  <si>
    <t xml:space="preserve">Concept</t>
  </si>
  <si>
    <t xml:space="preserve">A persistent chat with your Zodiac Companion — a character with a name, a visual look, and a consistent personality (warm, a little dramatic, self-aware and funny about being an app that wants your money).</t>
  </si>
  <si>
    <t xml:space="preserve">Powered by</t>
  </si>
  <si>
    <t xml:space="preserve">An LLM (e.g. Claude) prompted with the user's sign, current moon phase, recent tarot draws, and Dossier fields — so replies feel personalized, not generic. Companion never gives real medical/legal/financial advice; light guardrails needed here.</t>
  </si>
  <si>
    <t xml:space="preserve">Bonding mechanic</t>
  </si>
  <si>
    <t xml:space="preserve">A visible 'bond level' or affection meter that rises with chat frequency and streaks, unlocking companion cosmetics and new dialogue — classic companion-app retention design.</t>
  </si>
  <si>
    <t xml:space="preserve">Tone guardrails</t>
  </si>
  <si>
    <t xml:space="preserve">Sincere &gt; sarcastic on emotionally heavy topics (grief, anxiety); funny and self-aware on lighthearted ones (money, indecision, love drama). Never mock the user's beliefs, only gently mock the business model.</t>
  </si>
  <si>
    <t xml:space="preserve">Monetization</t>
  </si>
  <si>
    <t xml:space="preserve">Tier</t>
  </si>
  <si>
    <t xml:space="preserve">Chat Allowance</t>
  </si>
  <si>
    <t xml:space="preserve">3 messages/day, then pay 10 Coins/message or wait for reset</t>
  </si>
  <si>
    <t xml:space="preserve">30 messages/day included</t>
  </si>
  <si>
    <t xml:space="preserve">Non-subscriber add-on</t>
  </si>
  <si>
    <t xml:space="preserve">450 Gems = 30-day unlimited chat pass, for people who want just this feature</t>
  </si>
  <si>
    <t xml:space="preserve">Why This Matters More Than It Looks Like It Should</t>
  </si>
  <si>
    <t xml:space="preserve">Daily-word and horoscope apps churn because the content is static and skippable. A chat relationship is not skippable in the same way — people don't want to 'leave a conversation hanging.' This is the single highest-leverage retention feature in the whole plan, and the message-cap-then-paywall pattern is proven monetization (same shape as companion/romance-sim apps, which convert very well with exactly this demographic).</t>
  </si>
  <si>
    <t xml:space="preserve">Build Note</t>
  </si>
  <si>
    <t xml:space="preserve">Not built yet in the current app scaffold. Needs: a backend chat endpoint, an LLM API integration, per-user message-count tracking, and moderation/safety guardrails before shipping publicly.</t>
  </si>
  <si>
    <t xml:space="preserve">Content Calendar &amp; Cadence</t>
  </si>
  <si>
    <t xml:space="preserve">What content ships how often, and who/what produces it.</t>
  </si>
  <si>
    <t xml:space="preserve">Content Type</t>
  </si>
  <si>
    <t xml:space="preserve">Cadence</t>
  </si>
  <si>
    <t xml:space="preserve">Daily word (free)</t>
  </si>
  <si>
    <t xml:space="preserve">Daily, per sign</t>
  </si>
  <si>
    <t xml:space="preserve">Human writer, AI-assisted draft + human review</t>
  </si>
  <si>
    <t xml:space="preserve">Short, punchy, shareable — this is the acquisition engine</t>
  </si>
  <si>
    <t xml:space="preserve">Daily reading (premium)</t>
  </si>
  <si>
    <t xml:space="preserve">Longer, more specific, ties to that day's moon phase</t>
  </si>
  <si>
    <t xml:space="preserve">Weekly theme</t>
  </si>
  <si>
    <t xml:space="preserve">Weekly, per sign</t>
  </si>
  <si>
    <t xml:space="preserve">Human writer</t>
  </si>
  <si>
    <t xml:space="preserve">Bigger arc, anchors the week's chat conversations</t>
  </si>
  <si>
    <t xml:space="preserve">Annual, per sign</t>
  </si>
  <si>
    <t xml:space="preserve">Senior astrologer/writer, heavily edited</t>
  </si>
  <si>
    <t xml:space="preserve">The anchor premium product — treat like a real deliverable, not filler</t>
  </si>
  <si>
    <t xml:space="preserve">Moon phase + ritual copy</t>
  </si>
  <si>
    <t xml:space="preserve">8 entries per lunar cycle (~29.5 days)</t>
  </si>
  <si>
    <t xml:space="preserve">Written once, reused every cycle with light variation</t>
  </si>
  <si>
    <t xml:space="preserve">Already implemented with real astronomical math in the app</t>
  </si>
  <si>
    <t xml:space="preserve">Tarot card meanings</t>
  </si>
  <si>
    <t xml:space="preserve">Fixed library, 78 cards</t>
  </si>
  <si>
    <t xml:space="preserve">Written once (upright + reversed), reused</t>
  </si>
  <si>
    <t xml:space="preserve">Scaffold currently has 12 of 78 — needs the full deck</t>
  </si>
  <si>
    <t xml:space="preserve">Companion chat responses</t>
  </si>
  <si>
    <t xml:space="preserve">Real-time, generated per message</t>
  </si>
  <si>
    <t xml:space="preserve">LLM, prompted with user context + brand voice guide</t>
  </si>
  <si>
    <t xml:space="preserve">Needs a written 'voice bible' as the system prompt foundation</t>
  </si>
  <si>
    <t xml:space="preserve">Mineral collectible lore</t>
  </si>
  <si>
    <t xml:space="preserve">Fixed library, grows over time</t>
  </si>
  <si>
    <t xml:space="preserve">Written once per mineral, illustrated/sculpted once</t>
  </si>
  <si>
    <t xml:space="preserve">This is also the artist/sculptor's most direct creative contribution</t>
  </si>
  <si>
    <t xml:space="preserve">Who Owns What</t>
  </si>
  <si>
    <t xml:space="preserve">Product / voice / brand</t>
  </si>
  <si>
    <t xml:space="preserve">You — positioning, tone, visual identity, companion + mineral art direction</t>
  </si>
  <si>
    <t xml:space="preserve">Engineering / systems</t>
  </si>
  <si>
    <t xml:space="preserve">Claude — architecture, feature builds, currency/paywall logic, backend integration</t>
  </si>
  <si>
    <t xml:space="preserve">Ongoing content</t>
  </si>
  <si>
    <t xml:space="preserve">Needs a dedicated writer (or a tight AI-draft + human-edit pipeline) before launch — this is the one recurring cost the plan can't automate away entirely</t>
  </si>
  <si>
    <t xml:space="preserve">Every blue cell below is an editable input. Change any of them and the Financial Projections and Unit Economics tabs recalculate automatically.</t>
  </si>
  <si>
    <t xml:space="preserve">Growth &amp; Retention</t>
  </si>
  <si>
    <t xml:space="preserve">Assumption</t>
  </si>
  <si>
    <t xml:space="preserve">Value</t>
  </si>
  <si>
    <t xml:space="preserve">Notes / Source</t>
  </si>
  <si>
    <t xml:space="preserve">Month 1 new downloads</t>
  </si>
  <si>
    <t xml:space="preserve">Assumption — set to your actual soft-launch number once you have one</t>
  </si>
  <si>
    <t xml:space="preserve">Month-over-month download growth</t>
  </si>
  <si>
    <t xml:space="preserve">Assumption — organic + paid acquisition combined</t>
  </si>
  <si>
    <t xml:space="preserve">Monthly user churn (all users)</t>
  </si>
  <si>
    <t xml:space="preserve">Assumption — astrology/wellness app category benchmark range is roughly 6–12%</t>
  </si>
  <si>
    <t xml:space="preserve">Conversion &amp; Pricing</t>
  </si>
  <si>
    <t xml:space="preserve">Free-to-paid subscription conversion rate</t>
  </si>
  <si>
    <t xml:space="preserve">Assumption — freemium subscription apps commonly land 2–6%</t>
  </si>
  <si>
    <t xml:space="preserve">Share of paying users on Mystic</t>
  </si>
  <si>
    <t xml:space="preserve">Assumption — cheaper tier usually carries the volume</t>
  </si>
  <si>
    <t xml:space="preserve">Share of paying users on Oracle</t>
  </si>
  <si>
    <t xml:space="preserve">Assumption — should equal 1 − Mystic share</t>
  </si>
  <si>
    <t xml:space="preserve">Mystic monthly price</t>
  </si>
  <si>
    <t xml:space="preserve">From Shop Catalog tab</t>
  </si>
  <si>
    <t xml:space="preserve">Oracle monthly price</t>
  </si>
  <si>
    <t xml:space="preserve">In-App Purchases (Gems)</t>
  </si>
  <si>
    <t xml:space="preserve">% of free users buying a Gem pack in a given month</t>
  </si>
  <si>
    <t xml:space="preserve">Assumption — collectible/rarity pulls are the draw for non-subscribers</t>
  </si>
  <si>
    <t xml:space="preserve">Average Gem pack purchase — free users</t>
  </si>
  <si>
    <t xml:space="preserve">Assumption — the 'Glow' pack from Shop Catalog</t>
  </si>
  <si>
    <t xml:space="preserve">% of subscribers buying extra Gems in a given month</t>
  </si>
  <si>
    <t xml:space="preserve">Assumption — whale behavior even among payers</t>
  </si>
  <si>
    <t xml:space="preserve">Average extra Gem purchase — subscribers</t>
  </si>
  <si>
    <t xml:space="preserve">Assumption — the 'Radiance' pack from Shop Catalog</t>
  </si>
  <si>
    <t xml:space="preserve">Unit Economics Inputs</t>
  </si>
  <si>
    <t xml:space="preserve">Blended customer acquisition cost (CAC)</t>
  </si>
  <si>
    <t xml:space="preserve">Assumption — typical for a niche content/wellness app on paid social; validate with real ad spend once live</t>
  </si>
  <si>
    <t xml:space="preserve">Average paying-subscriber lifetime (months)</t>
  </si>
  <si>
    <t xml:space="preserve">Assumption — derived from the churn rate above as a starting estimate</t>
  </si>
  <si>
    <t xml:space="preserve">Every yellow cell is a hardcoded planning assumption, not a measured result — none of this is real usage data. Replace with actuals as soon as you have them; the two model tabs will recalculate instantly.</t>
  </si>
  <si>
    <t xml:space="preserve">Financial Projections — Year 1</t>
  </si>
  <si>
    <t xml:space="preserve">Every number below is a formula driven by the 'Revenue Assumptions' tab. Change an assumption there and this whole model updates.</t>
  </si>
  <si>
    <t xml:space="preserve">Metric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</si>
  <si>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</si>
  <si>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</si>
  <si>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</si>
  <si>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</si>
  <si>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</si>
  <si>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</si>
  <si>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</si>
  <si>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</si>
  <si>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</si>
  <si>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</si>
  <si>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</si>
  <si>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</si>
  <si>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New downloads</t>
  </si>
  <si>
    <t xml:space="preserve">Monthly Active Users (MAU)</t>
  </si>
  <si>
    <t xml:space="preserve">Paying subscribers</t>
  </si>
  <si>
    <t xml:space="preserve">  Mystic subscribers</t>
  </si>
  <si>
    <t xml:space="preserve">  Oracle subscribers</t>
  </si>
  <si>
    <t xml:space="preserve">Subscription revenue</t>
  </si>
  <si>
    <t xml:space="preserve">Free-user Gem revenue</t>
  </si>
  <si>
    <t xml:space="preserve">Subscriber extra-Gem revenue</t>
  </si>
  <si>
    <t xml:space="preserve">Total monthly revenue</t>
  </si>
  <si>
    <t xml:space="preserve">Cumulative revenue</t>
  </si>
  <si>
    <t xml:space="preserve">Year 1 Summary</t>
  </si>
  <si>
    <t xml:space="preserve">Total Year 1 revenue</t>
  </si>
  <si>
    <t xml:space="preserve">Month 12 MAU</t>
  </si>
  <si>
    <t xml:space="preserve">LTV, CAC, and payback — the numbers that tell you whether the acquisition math actually works.</t>
  </si>
  <si>
    <t xml:space="preserve">Formula / Explanation</t>
  </si>
  <si>
    <t xml:space="preserve">Blended paying ARPU / month</t>
  </si>
  <si>
    <t xml:space="preserve">Weighted average of Mystic and Oracle pricing by their share of paying users</t>
  </si>
  <si>
    <t xml:space="preserve">Average subscriber lifetime (months)</t>
  </si>
  <si>
    <t xml:space="preserve">From Revenue Assumptions tab</t>
  </si>
  <si>
    <t xml:space="preserve">LTV (subscription only)</t>
  </si>
  <si>
    <t xml:space="preserve">Blended ARPU × average lifetime. Excludes Gem/IAP revenue, so this is a conservative floor, not the full picture.</t>
  </si>
  <si>
    <t xml:space="preserve">CAC (blended)</t>
  </si>
  <si>
    <t xml:space="preserve">From Revenue Assumptions tab — cost per install/signup, not per paying user</t>
  </si>
  <si>
    <t xml:space="preserve">LTV : CAC ratio</t>
  </si>
  <si>
    <t xml:space="preserve">Healthy SaaS/subscription benchmark is roughly 3x or higher. Below 1x means you're losing money on every acquired user.</t>
  </si>
  <si>
    <t xml:space="preserve">CAC payback period (months)</t>
  </si>
  <si>
    <t xml:space="preserve">How many months of subscription revenue it takes to recoup the acquisition cost of one paying user</t>
  </si>
  <si>
    <t xml:space="preserve">This tab only models subscription LTV/CAC, not Gem/IAP revenue per user — a true blended LTV would be higher. Treat this as the conservative case for whether the subscription business alone can work.</t>
  </si>
  <si>
    <t xml:space="preserve">Who we're building for, and how they find us.</t>
  </si>
  <si>
    <t xml:space="preserve">Primary Persona</t>
  </si>
  <si>
    <t xml:space="preserve">Who</t>
  </si>
  <si>
    <t xml:space="preserve">Women, roughly 18–34, into astrology / tarot / crystals / manifestation / witchy or cottagecore aesthetics</t>
  </si>
  <si>
    <t xml:space="preserve">Where they already are</t>
  </si>
  <si>
    <t xml:space="preserve">TikTok and Instagram — astrology and tarot content performs extremely well in short-form video; this is a proven, low-cost discovery channel for this exact category</t>
  </si>
  <si>
    <t xml:space="preserve">What they already do</t>
  </si>
  <si>
    <t xml:space="preserve">Read horoscopes daily (often across multiple apps/sites), follow tarot creators, buy real crystals, journal, use manifestation apps</t>
  </si>
  <si>
    <t xml:space="preserve">What they want from an app</t>
  </si>
  <si>
    <t xml:space="preserve">To feel SEEN and a little bit entertained — not lectured. Depth when they want it, humor so it never feels precious or preachy.</t>
  </si>
  <si>
    <t xml:space="preserve">What makes them pay</t>
  </si>
  <si>
    <t xml:space="preserve">A feature that feels personal (the companion, the compatibility reading) and a collection they don't want to abandon (the minerals)</t>
  </si>
  <si>
    <t xml:space="preserve">Positioning Statement</t>
  </si>
  <si>
    <t xml:space="preserve">For people who check their horoscope even when they say they don't believe in it, Mystic Companion is the zodiac app with an actual personality — daily readings, tarot, a moon calendar, and a companion who chats back, wrapped around a collectible mineral system that makes checking in every day genuinely fun. Unlike Co-Star's cold read or a static horoscope site, ours is a relationship, and it's honest about being a business while it's at it.</t>
  </si>
  <si>
    <t xml:space="preserve">Competitor Snapshot</t>
  </si>
  <si>
    <t xml:space="preserve">App</t>
  </si>
  <si>
    <t xml:space="preserve">What They Do Well</t>
  </si>
  <si>
    <t xml:space="preserve">Where We Differ</t>
  </si>
  <si>
    <t xml:space="preserve">Co-Star</t>
  </si>
  <si>
    <t xml:space="preserve">Sharp, cold, very shareable copy; huge brand recognition</t>
  </si>
  <si>
    <t xml:space="preserve">We're warmer and funnier, and we have a real game loop (collection + currency) they don't</t>
  </si>
  <si>
    <t xml:space="preserve">The Pattern</t>
  </si>
  <si>
    <t xml:space="preserve">Deep, personality-driven readings; strong retention among believers</t>
  </si>
  <si>
    <t xml:space="preserve">We're more casual/accessible to entry-level users, plus the companion-chat relationship</t>
  </si>
  <si>
    <t xml:space="preserve">Sanctuary</t>
  </si>
  <si>
    <t xml:space="preserve">Live human astrologers, chat-based readings</t>
  </si>
  <si>
    <t xml:space="preserve">We're software-only (cheaper, scalable) with an AI companion instead of paid human sessions</t>
  </si>
  <si>
    <t xml:space="preserve">Nebula</t>
  </si>
  <si>
    <t xml:space="preserve">Strong tarot + astrology content depth, aggressive subscription upsells</t>
  </si>
  <si>
    <t xml:space="preserve">We lean into humor/self-awareness about monetization instead of hiding it</t>
  </si>
  <si>
    <t xml:space="preserve">Acquisition Channels (in priority order)</t>
  </si>
  <si>
    <t xml:space="preserve">Channel</t>
  </si>
  <si>
    <t xml:space="preserve">Why It Works Here</t>
  </si>
  <si>
    <t xml:space="preserve">TikTok/Instagram short-form content</t>
  </si>
  <si>
    <t xml:space="preserve">Astrology content has proven organic reach; shareable daily-word cards from the app double as free content</t>
  </si>
  <si>
    <t xml:space="preserve">Influencer/creator partnerships (tarot, astrology, witchy lifestyle)</t>
  </si>
  <si>
    <t xml:space="preserve">Trusted voices in-category convert better than generic ads for this audience</t>
  </si>
  <si>
    <t xml:space="preserve">In-app share loop</t>
  </si>
  <si>
    <t xml:space="preserve">The free shareable daily-word card feature is a built-in acquisition engine — every free user is a potential billboard</t>
  </si>
  <si>
    <t xml:space="preserve">Paid social (once unit economics are validated)</t>
  </si>
  <si>
    <t xml:space="preserve">Only after Unit Economics tab shows a healthy LTV:CAC ratio on organic-heavy early data</t>
  </si>
  <si>
    <t xml:space="preserve">From today's working scaffold to a mature, monetizing product.</t>
  </si>
  <si>
    <t xml:space="preserve">Phase</t>
  </si>
  <si>
    <t xml:space="preserve">Focus</t>
  </si>
  <si>
    <t xml:space="preserve">What Ships</t>
  </si>
  <si>
    <t xml:space="preserve">Phase 0</t>
  </si>
  <si>
    <t xml:space="preserve">Brand</t>
  </si>
  <si>
    <t xml:space="preserve">Name, companion character design, mineral art direction, visual identity, brand voice guide (this is where the artist/sculptor skillset leads)</t>
  </si>
  <si>
    <t xml:space="preserve">Phase 1 — MVP</t>
  </si>
  <si>
    <t xml:space="preserve">Core loop (DONE — see 'What We've Built')</t>
  </si>
  <si>
    <t xml:space="preserve">Onboarding, sun-sign daily word, moon calendar, single tarot draw, mock subscription wall — all working today</t>
  </si>
  <si>
    <t xml:space="preserve">Phase 2</t>
  </si>
  <si>
    <t xml:space="preserve">Engagement systems</t>
  </si>
  <si>
    <t xml:space="preserve">Coins &amp; Gems economy, mineral collectible pulls, companion bonding meter, streaks, weekly/yearly content, Companion Chat (MVP)</t>
  </si>
  <si>
    <t xml:space="preserve">Phase 3</t>
  </si>
  <si>
    <t xml:space="preserve">Monetization infrastructure</t>
  </si>
  <si>
    <t xml:space="preserve">Real backend (Supabase/Firebase), real payments (Stripe Billing + Gem pack purchases), full Compatibility calculator + Dossier gating live</t>
  </si>
  <si>
    <t xml:space="preserve">Phase 4</t>
  </si>
  <si>
    <t xml:space="preserve">Scale &amp; polish</t>
  </si>
  <si>
    <t xml:space="preserve">Native mobile app (React Native), push notifications, full 78-card tarot deck, expanded mineral library, merch tie-in (sculpted physical minerals for top-tier subscribers)</t>
  </si>
  <si>
    <t xml:space="preserve">Phase 5 (conditional)</t>
  </si>
  <si>
    <t xml:space="preserve">Real matchmaking</t>
  </si>
  <si>
    <t xml:space="preserve">Only if traction justifies it: user-to-user matching instead of calculator-only Compatibility — requires moderation, safety reporting, and likely an 18+ gate</t>
  </si>
  <si>
    <t xml:space="preserve">Immediate Next Decisions</t>
  </si>
  <si>
    <t xml:space="preserve">1. Pick a real app name and companion character concept</t>
  </si>
  <si>
    <t xml:space="preserve">2. Choose Supabase vs Firebase for the backend</t>
  </si>
  <si>
    <t xml:space="preserve">3. Set up a Stripe account to move the Upgrade screen from mock to real</t>
  </si>
  <si>
    <t xml:space="preserve">4. Decide who writes ongoing daily/weekly/yearly content (you, a hired writer, or an AI-draft + human-edit pipeline)</t>
  </si>
  <si>
    <t xml:space="preserve">5. Validate the Revenue Assumptions tab against any real numbers you have access to (ad costs, category benchmarks) before treating the projection as more than illustrative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</si>
</sst>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.00"/>
    <numFmt numFmtId="167" formatCode="0.0%"/>
    <numFmt numFmtId="168" formatCode="0"/>
    <numFmt numFmtId="169" formatCode="\$#,##0"/>
    <numFmt numFmtId="170" formatCode="0.0"/>
    <numFmt numFmtId="171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4B1F80"/>
      <name val="Arial"/>
      <family val="0"/>
      <charset val="1"/>
    </font>
    <font>
      <i val="true"/>
      <sz val="11"/>
      <color rgb="FF6B637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F7F5FB"/>
        <bgColor rgb="FFFFFFFF"/>
      </patternFill>
    </fill>
    <fill>
      <patternFill patternType="solid">
        <fgColor rgb="FF4B1F80"/>
        <bgColor rgb="FF660066"/>
      </patternFill>
    </fill>
    <fill>
      <patternFill patternType="solid">
        <fgColor rgb="FFFFFF00"/>
        <bgColor rgb="FFFFFF00"/>
      </patternFill>
    </fill>
    <fill>
      <patternFill patternType="solid">
        <fgColor rgb="FFEDE7F6"/>
        <bgColor rgb="FFF7F5FB"/>
      </patternFill>
    </fill>
    <fill>
      <patternFill patternType="solid">
        <fgColor rgb="FFF5C451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7F5FB"/>
      <rgbColor rgb="FFEDE7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C451"/>
      <rgbColor rgb="FF3366FF"/>
      <rgbColor rgb="FF33CCCC"/>
      <rgbColor rgb="FF99CC00"/>
      <rgbColor rgb="FFFFCC00"/>
      <rgbColor rgb="FFFF9900"/>
      <rgbColor rgb="FFFF6600"/>
      <rgbColor rgb="FF6B6375"/>
      <rgbColor rgb="FF969696"/>
      <rgbColor rgb="FF003366"/>
      <rgbColor rgb="FF339966"/>
      <rgbColor rgb="FF003300"/>
      <rgbColor rgb="FF333300"/>
      <rgbColor rgb="FF993300"/>
      <rgbColor rgb="FF993366"/>
      <rgbColor rgb="FF4B1F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3"/>
    </row>
    <row r="5" customFormat="false" ht="15" hidden="false" customHeight="true" outlineLevel="0" collapsed="false">
      <c r="A5" s="4" t="s">
        <v>3</v>
      </c>
      <c r="B5" s="4"/>
    </row>
    <row r="6" customFormat="false" ht="15" hidden="false" customHeight="false" outlineLevel="0" collapsed="false">
      <c r="A6" s="4"/>
      <c r="B6" s="4"/>
    </row>
    <row r="7" customFormat="false" ht="15" hidden="false" customHeight="false" outlineLevel="0" collapsed="false">
      <c r="A7" s="4"/>
      <c r="B7" s="4"/>
    </row>
    <row r="8" customFormat="false" ht="15" hidden="false" customHeight="false" outlineLevel="0" collapsed="false">
      <c r="A8" s="4"/>
      <c r="B8" s="4"/>
    </row>
    <row r="10" customFormat="false" ht="19.5" hidden="false" customHeight="true" outlineLevel="0" collapsed="false">
      <c r="A10" s="3" t="s">
        <v>4</v>
      </c>
      <c r="B10" s="3"/>
    </row>
    <row r="11" customFormat="false" ht="26.85" hidden="false" customHeight="false" outlineLevel="0" collapsed="false">
      <c r="A11" s="5" t="s">
        <v>5</v>
      </c>
      <c r="B11" s="6" t="s">
        <v>6</v>
      </c>
    </row>
    <row r="12" customFormat="false" ht="15" hidden="false" customHeight="false" outlineLevel="0" collapsed="false">
      <c r="A12" s="5" t="s">
        <v>7</v>
      </c>
      <c r="B12" s="6" t="s">
        <v>8</v>
      </c>
    </row>
    <row r="13" customFormat="false" ht="26.85" hidden="false" customHeight="false" outlineLevel="0" collapsed="false">
      <c r="A13" s="5" t="s">
        <v>9</v>
      </c>
      <c r="B13" s="6" t="s">
        <v>10</v>
      </c>
    </row>
    <row r="14" customFormat="false" ht="15" hidden="false" customHeight="true" outlineLevel="0" collapsed="false">
      <c r="A14" s="5" t="s">
        <v>11</v>
      </c>
      <c r="B14" s="6" t="s">
        <v>12</v>
      </c>
    </row>
    <row r="16" customFormat="false" ht="19.5" hidden="false" customHeight="true" outlineLevel="0" collapsed="false">
      <c r="A16" s="3" t="s">
        <v>13</v>
      </c>
      <c r="B16" s="3"/>
    </row>
    <row r="17" customFormat="false" ht="15" hidden="false" customHeight="false" outlineLevel="0" collapsed="false">
      <c r="A17" s="5" t="s">
        <v>14</v>
      </c>
      <c r="B17" s="6" t="s">
        <v>15</v>
      </c>
    </row>
    <row r="18" customFormat="false" ht="15" hidden="false" customHeight="false" outlineLevel="0" collapsed="false">
      <c r="A18" s="7" t="s">
        <v>16</v>
      </c>
      <c r="B18" s="8" t="s">
        <v>17</v>
      </c>
    </row>
    <row r="19" customFormat="false" ht="15" hidden="false" customHeight="false" outlineLevel="0" collapsed="false">
      <c r="A19" s="5" t="s">
        <v>18</v>
      </c>
      <c r="B19" s="6" t="s">
        <v>19</v>
      </c>
    </row>
    <row r="20" customFormat="false" ht="15" hidden="false" customHeight="false" outlineLevel="0" collapsed="false">
      <c r="A20" s="7" t="s">
        <v>20</v>
      </c>
      <c r="B20" s="8" t="s">
        <v>21</v>
      </c>
    </row>
    <row r="21" customFormat="false" ht="15" hidden="false" customHeight="false" outlineLevel="0" collapsed="false">
      <c r="A21" s="5" t="s">
        <v>22</v>
      </c>
      <c r="B21" s="6" t="s">
        <v>23</v>
      </c>
    </row>
    <row r="22" customFormat="false" ht="15" hidden="false" customHeight="false" outlineLevel="0" collapsed="false">
      <c r="A22" s="7" t="s">
        <v>24</v>
      </c>
      <c r="B22" s="8" t="s">
        <v>25</v>
      </c>
    </row>
    <row r="23" customFormat="false" ht="15" hidden="false" customHeight="false" outlineLevel="0" collapsed="false">
      <c r="A23" s="5" t="s">
        <v>26</v>
      </c>
      <c r="B23" s="6" t="s">
        <v>27</v>
      </c>
    </row>
    <row r="24" customFormat="false" ht="15" hidden="false" customHeight="false" outlineLevel="0" collapsed="false">
      <c r="A24" s="7" t="s">
        <v>28</v>
      </c>
      <c r="B24" s="8" t="s">
        <v>29</v>
      </c>
    </row>
    <row r="25" customFormat="false" ht="15" hidden="false" customHeight="false" outlineLevel="0" collapsed="false">
      <c r="A25" s="5" t="s">
        <v>30</v>
      </c>
      <c r="B25" s="6" t="s">
        <v>31</v>
      </c>
    </row>
    <row r="26" customFormat="false" ht="15" hidden="false" customHeight="false" outlineLevel="0" collapsed="false">
      <c r="A26" s="7" t="s">
        <v>32</v>
      </c>
      <c r="B26" s="8" t="s">
        <v>33</v>
      </c>
    </row>
    <row r="27" customFormat="false" ht="15" hidden="false" customHeight="false" outlineLevel="0" collapsed="false">
      <c r="A27" s="5" t="s">
        <v>34</v>
      </c>
      <c r="B27" s="6" t="s">
        <v>35</v>
      </c>
    </row>
  </sheetData>
  <mergeCells count="6">
    <mergeCell ref="A1:B1"/>
    <mergeCell ref="A2:B2"/>
    <mergeCell ref="A4:B4"/>
    <mergeCell ref="A5:B8"/>
    <mergeCell ref="A10:B10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" t="s">
        <v>14</v>
      </c>
      <c r="B1" s="1"/>
      <c r="C1" s="1"/>
      <c r="D1" s="1"/>
    </row>
    <row r="2" customFormat="false" ht="15" hidden="false" customHeight="false" outlineLevel="0" collapsed="false">
      <c r="A2" s="2" t="s">
        <v>36</v>
      </c>
      <c r="B2" s="2"/>
      <c r="C2" s="2"/>
      <c r="D2" s="2"/>
    </row>
    <row r="4" customFormat="false" ht="30" hidden="false" customHeight="true" outlineLevel="0" collapsed="false">
      <c r="A4" s="9" t="s">
        <v>37</v>
      </c>
      <c r="B4" s="9" t="s">
        <v>38</v>
      </c>
      <c r="C4" s="9" t="s">
        <v>39</v>
      </c>
      <c r="D4" s="9" t="s">
        <v>40</v>
      </c>
    </row>
    <row r="5" customFormat="false" ht="26.85" hidden="false" customHeight="false" outlineLevel="0" collapsed="false">
      <c r="A5" s="6" t="s">
        <v>41</v>
      </c>
      <c r="B5" s="6" t="s">
        <v>42</v>
      </c>
      <c r="C5" s="6" t="s">
        <v>43</v>
      </c>
      <c r="D5" s="6" t="s">
        <v>44</v>
      </c>
    </row>
    <row r="6" customFormat="false" ht="26.85" hidden="false" customHeight="false" outlineLevel="0" collapsed="false">
      <c r="A6" s="8" t="s">
        <v>45</v>
      </c>
      <c r="B6" s="8" t="s">
        <v>46</v>
      </c>
      <c r="C6" s="8" t="s">
        <v>47</v>
      </c>
      <c r="D6" s="8" t="s">
        <v>48</v>
      </c>
    </row>
    <row r="7" customFormat="false" ht="26.85" hidden="false" customHeight="false" outlineLevel="0" collapsed="false">
      <c r="A7" s="6" t="s">
        <v>49</v>
      </c>
      <c r="B7" s="6" t="s">
        <v>50</v>
      </c>
      <c r="C7" s="6" t="s">
        <v>51</v>
      </c>
      <c r="D7" s="6" t="s">
        <v>52</v>
      </c>
    </row>
    <row r="8" customFormat="false" ht="26.85" hidden="false" customHeight="false" outlineLevel="0" collapsed="false">
      <c r="A8" s="8" t="s">
        <v>53</v>
      </c>
      <c r="B8" s="8" t="s">
        <v>54</v>
      </c>
      <c r="C8" s="8" t="s">
        <v>55</v>
      </c>
      <c r="D8" s="8" t="s">
        <v>56</v>
      </c>
    </row>
    <row r="9" customFormat="false" ht="26.85" hidden="false" customHeight="false" outlineLevel="0" collapsed="false">
      <c r="A9" s="6" t="s">
        <v>57</v>
      </c>
      <c r="B9" s="6" t="s">
        <v>58</v>
      </c>
      <c r="C9" s="6" t="s">
        <v>59</v>
      </c>
      <c r="D9" s="6" t="s">
        <v>60</v>
      </c>
    </row>
    <row r="10" customFormat="false" ht="39.55" hidden="false" customHeight="false" outlineLevel="0" collapsed="false">
      <c r="A10" s="8" t="s">
        <v>61</v>
      </c>
      <c r="B10" s="8" t="s">
        <v>62</v>
      </c>
      <c r="C10" s="8" t="s">
        <v>63</v>
      </c>
      <c r="D10" s="8" t="s">
        <v>64</v>
      </c>
    </row>
    <row r="11" customFormat="false" ht="26.85" hidden="false" customHeight="false" outlineLevel="0" collapsed="false">
      <c r="A11" s="6" t="s">
        <v>65</v>
      </c>
      <c r="B11" s="6" t="s">
        <v>66</v>
      </c>
      <c r="C11" s="6" t="s">
        <v>43</v>
      </c>
      <c r="D11" s="6" t="s">
        <v>67</v>
      </c>
    </row>
    <row r="12" customFormat="false" ht="26.85" hidden="false" customHeight="false" outlineLevel="0" collapsed="false">
      <c r="A12" s="8" t="s">
        <v>68</v>
      </c>
      <c r="B12" s="8" t="s">
        <v>69</v>
      </c>
      <c r="C12" s="8" t="s">
        <v>70</v>
      </c>
      <c r="D12" s="8" t="s">
        <v>71</v>
      </c>
    </row>
    <row r="13" customFormat="false" ht="15" hidden="false" customHeight="false" outlineLevel="0" collapsed="false">
      <c r="A13" s="6" t="s">
        <v>72</v>
      </c>
      <c r="B13" s="6" t="s">
        <v>73</v>
      </c>
      <c r="C13" s="6" t="s">
        <v>74</v>
      </c>
      <c r="D13" s="6" t="s">
        <v>75</v>
      </c>
    </row>
    <row r="14" customFormat="false" ht="15" hidden="false" customHeight="false" outlineLevel="0" collapsed="false">
      <c r="A14" s="8" t="s">
        <v>76</v>
      </c>
      <c r="B14" s="8" t="s">
        <v>77</v>
      </c>
      <c r="C14" s="8" t="s">
        <v>74</v>
      </c>
      <c r="D14" s="8" t="s">
        <v>78</v>
      </c>
    </row>
    <row r="15" customFormat="false" ht="26.85" hidden="false" customHeight="false" outlineLevel="0" collapsed="false">
      <c r="A15" s="6" t="s">
        <v>79</v>
      </c>
      <c r="B15" s="6" t="s">
        <v>80</v>
      </c>
      <c r="C15" s="6" t="s">
        <v>74</v>
      </c>
      <c r="D15" s="6" t="s">
        <v>81</v>
      </c>
    </row>
    <row r="16" customFormat="false" ht="26.85" hidden="false" customHeight="false" outlineLevel="0" collapsed="false">
      <c r="A16" s="8" t="s">
        <v>82</v>
      </c>
      <c r="B16" s="8" t="s">
        <v>83</v>
      </c>
      <c r="C16" s="8" t="s">
        <v>74</v>
      </c>
      <c r="D16" s="8" t="s">
        <v>84</v>
      </c>
    </row>
    <row r="18" customFormat="false" ht="19.5" hidden="false" customHeight="true" outlineLevel="0" collapsed="false">
      <c r="A18" s="3" t="s">
        <v>85</v>
      </c>
      <c r="B18" s="3"/>
      <c r="C18" s="3"/>
      <c r="D18" s="3"/>
    </row>
    <row r="19" customFormat="false" ht="26.85" hidden="false" customHeight="false" outlineLevel="0" collapsed="false">
      <c r="A19" s="10" t="s">
        <v>86</v>
      </c>
      <c r="B19" s="6" t="s">
        <v>87</v>
      </c>
      <c r="C19" s="6"/>
      <c r="D19" s="6"/>
    </row>
    <row r="20" customFormat="false" ht="26.85" hidden="false" customHeight="false" outlineLevel="0" collapsed="false">
      <c r="A20" s="11" t="s">
        <v>88</v>
      </c>
      <c r="B20" s="8" t="s">
        <v>89</v>
      </c>
      <c r="C20" s="8"/>
      <c r="D20" s="8"/>
    </row>
    <row r="21" customFormat="false" ht="39.55" hidden="false" customHeight="false" outlineLevel="0" collapsed="false">
      <c r="A21" s="10" t="s">
        <v>90</v>
      </c>
      <c r="B21" s="6" t="s">
        <v>91</v>
      </c>
      <c r="C21" s="6"/>
      <c r="D21" s="6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30"/>
  </cols>
  <sheetData>
    <row r="1" customFormat="false" ht="25.5" hidden="false" customHeight="true" outlineLevel="0" collapsed="false">
      <c r="A1" s="1" t="s">
        <v>92</v>
      </c>
      <c r="B1" s="1"/>
      <c r="C1" s="1"/>
      <c r="D1" s="1"/>
    </row>
    <row r="2" customFormat="false" ht="15" hidden="false" customHeight="false" outlineLevel="0" collapsed="false">
      <c r="A2" s="2" t="s">
        <v>93</v>
      </c>
      <c r="B2" s="2"/>
      <c r="C2" s="2"/>
      <c r="D2" s="2"/>
    </row>
    <row r="4" customFormat="false" ht="30" hidden="false" customHeight="true" outlineLevel="0" collapsed="false">
      <c r="A4" s="9" t="s">
        <v>94</v>
      </c>
      <c r="B4" s="9" t="s">
        <v>95</v>
      </c>
      <c r="C4" s="9" t="s">
        <v>96</v>
      </c>
      <c r="D4" s="9" t="s">
        <v>97</v>
      </c>
    </row>
    <row r="5" customFormat="false" ht="15" hidden="false" customHeight="false" outlineLevel="0" collapsed="false">
      <c r="A5" s="6" t="s">
        <v>98</v>
      </c>
      <c r="B5" s="8" t="s">
        <v>99</v>
      </c>
      <c r="C5" s="8" t="s">
        <v>99</v>
      </c>
      <c r="D5" s="8" t="s">
        <v>99</v>
      </c>
    </row>
    <row r="6" customFormat="false" ht="15" hidden="false" customHeight="false" outlineLevel="0" collapsed="false">
      <c r="A6" s="8" t="s">
        <v>100</v>
      </c>
      <c r="B6" s="8" t="s">
        <v>101</v>
      </c>
      <c r="C6" s="8" t="s">
        <v>99</v>
      </c>
      <c r="D6" s="8" t="s">
        <v>99</v>
      </c>
    </row>
    <row r="7" customFormat="false" ht="15" hidden="false" customHeight="false" outlineLevel="0" collapsed="false">
      <c r="A7" s="6" t="s">
        <v>102</v>
      </c>
      <c r="B7" s="8" t="s">
        <v>101</v>
      </c>
      <c r="C7" s="8" t="s">
        <v>99</v>
      </c>
      <c r="D7" s="8" t="s">
        <v>99</v>
      </c>
    </row>
    <row r="8" customFormat="false" ht="15" hidden="false" customHeight="false" outlineLevel="0" collapsed="false">
      <c r="A8" s="8" t="s">
        <v>103</v>
      </c>
      <c r="B8" s="8" t="s">
        <v>104</v>
      </c>
      <c r="C8" s="8" t="s">
        <v>105</v>
      </c>
      <c r="D8" s="8" t="s">
        <v>106</v>
      </c>
    </row>
    <row r="9" customFormat="false" ht="15" hidden="false" customHeight="false" outlineLevel="0" collapsed="false">
      <c r="A9" s="6" t="s">
        <v>107</v>
      </c>
      <c r="B9" s="8" t="s">
        <v>99</v>
      </c>
      <c r="C9" s="8" t="s">
        <v>99</v>
      </c>
      <c r="D9" s="8" t="s">
        <v>99</v>
      </c>
    </row>
    <row r="10" customFormat="false" ht="15" hidden="false" customHeight="false" outlineLevel="0" collapsed="false">
      <c r="A10" s="8" t="s">
        <v>108</v>
      </c>
      <c r="B10" s="8" t="s">
        <v>109</v>
      </c>
      <c r="C10" s="8" t="s">
        <v>110</v>
      </c>
      <c r="D10" s="8" t="s">
        <v>111</v>
      </c>
    </row>
    <row r="11" customFormat="false" ht="15" hidden="false" customHeight="false" outlineLevel="0" collapsed="false">
      <c r="A11" s="6" t="s">
        <v>112</v>
      </c>
      <c r="B11" s="8" t="s">
        <v>99</v>
      </c>
      <c r="C11" s="8" t="s">
        <v>99</v>
      </c>
      <c r="D11" s="8" t="s">
        <v>99</v>
      </c>
    </row>
    <row r="12" customFormat="false" ht="15" hidden="false" customHeight="false" outlineLevel="0" collapsed="false">
      <c r="A12" s="8" t="s">
        <v>113</v>
      </c>
      <c r="B12" s="8" t="s">
        <v>101</v>
      </c>
      <c r="C12" s="8" t="s">
        <v>99</v>
      </c>
      <c r="D12" s="8" t="s">
        <v>99</v>
      </c>
    </row>
    <row r="13" customFormat="false" ht="15" hidden="false" customHeight="false" outlineLevel="0" collapsed="false">
      <c r="A13" s="6" t="s">
        <v>114</v>
      </c>
      <c r="B13" s="8" t="s">
        <v>101</v>
      </c>
      <c r="C13" s="8" t="s">
        <v>101</v>
      </c>
      <c r="D13" s="8" t="s">
        <v>99</v>
      </c>
    </row>
    <row r="14" customFormat="false" ht="15" hidden="false" customHeight="false" outlineLevel="0" collapsed="false">
      <c r="A14" s="8" t="s">
        <v>115</v>
      </c>
      <c r="B14" s="8" t="s">
        <v>116</v>
      </c>
      <c r="C14" s="8" t="s">
        <v>117</v>
      </c>
      <c r="D14" s="8" t="s">
        <v>117</v>
      </c>
    </row>
    <row r="15" customFormat="false" ht="15" hidden="false" customHeight="false" outlineLevel="0" collapsed="false">
      <c r="A15" s="6" t="s">
        <v>118</v>
      </c>
      <c r="B15" s="8" t="s">
        <v>119</v>
      </c>
      <c r="C15" s="8" t="s">
        <v>120</v>
      </c>
      <c r="D15" s="8" t="s">
        <v>121</v>
      </c>
    </row>
    <row r="16" customFormat="false" ht="15" hidden="false" customHeight="false" outlineLevel="0" collapsed="false">
      <c r="A16" s="8" t="s">
        <v>122</v>
      </c>
      <c r="B16" s="8" t="s">
        <v>123</v>
      </c>
      <c r="C16" s="8" t="s">
        <v>124</v>
      </c>
      <c r="D16" s="8" t="s">
        <v>125</v>
      </c>
    </row>
    <row r="17" customFormat="false" ht="15" hidden="false" customHeight="false" outlineLevel="0" collapsed="false">
      <c r="A17" s="6" t="s">
        <v>126</v>
      </c>
      <c r="B17" s="8" t="s">
        <v>127</v>
      </c>
      <c r="C17" s="8" t="s">
        <v>128</v>
      </c>
      <c r="D17" s="8" t="s">
        <v>125</v>
      </c>
    </row>
    <row r="18" customFormat="false" ht="15" hidden="false" customHeight="false" outlineLevel="0" collapsed="false">
      <c r="A18" s="8" t="s">
        <v>129</v>
      </c>
      <c r="B18" s="8" t="s">
        <v>130</v>
      </c>
      <c r="C18" s="8" t="s">
        <v>131</v>
      </c>
      <c r="D18" s="8" t="s">
        <v>132</v>
      </c>
    </row>
    <row r="19" customFormat="false" ht="15" hidden="false" customHeight="false" outlineLevel="0" collapsed="false">
      <c r="A19" s="6" t="s">
        <v>133</v>
      </c>
      <c r="B19" s="8" t="s">
        <v>134</v>
      </c>
      <c r="C19" s="8" t="s">
        <v>135</v>
      </c>
      <c r="D19" s="8" t="s">
        <v>135</v>
      </c>
    </row>
    <row r="20" customFormat="false" ht="15" hidden="false" customHeight="false" outlineLevel="0" collapsed="false">
      <c r="A20" s="8" t="s">
        <v>136</v>
      </c>
      <c r="B20" s="8" t="s">
        <v>137</v>
      </c>
      <c r="C20" s="8" t="s">
        <v>138</v>
      </c>
      <c r="D20" s="8" t="s">
        <v>139</v>
      </c>
    </row>
    <row r="21" customFormat="false" ht="15" hidden="false" customHeight="false" outlineLevel="0" collapsed="false">
      <c r="A21" s="6" t="s">
        <v>140</v>
      </c>
      <c r="B21" s="8" t="s">
        <v>141</v>
      </c>
      <c r="C21" s="8" t="s">
        <v>142</v>
      </c>
      <c r="D21" s="8" t="s">
        <v>142</v>
      </c>
    </row>
    <row r="23" customFormat="false" ht="19.5" hidden="false" customHeight="true" outlineLevel="0" collapsed="false">
      <c r="A23" s="3" t="s">
        <v>143</v>
      </c>
      <c r="B23" s="3"/>
      <c r="C23" s="3"/>
      <c r="D23" s="3"/>
    </row>
    <row r="24" customFormat="false" ht="26.85" hidden="false" customHeight="true" outlineLevel="0" collapsed="false">
      <c r="A24" s="4" t="s">
        <v>144</v>
      </c>
      <c r="B24" s="4"/>
      <c r="C24" s="4"/>
      <c r="D24" s="4"/>
    </row>
    <row r="25" customFormat="false" ht="26.85" hidden="false" customHeight="true" outlineLevel="0" collapsed="false">
      <c r="A25" s="4" t="s">
        <v>145</v>
      </c>
      <c r="B25" s="4"/>
      <c r="C25" s="4"/>
      <c r="D25" s="4"/>
    </row>
    <row r="26" customFormat="false" ht="26.85" hidden="false" customHeight="true" outlineLevel="0" collapsed="false">
      <c r="A26" s="4" t="s">
        <v>146</v>
      </c>
      <c r="B26" s="4"/>
      <c r="C26" s="4"/>
      <c r="D26" s="4"/>
    </row>
  </sheetData>
  <mergeCells count="6">
    <mergeCell ref="A1:D1"/>
    <mergeCell ref="A2:D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" t="s">
        <v>18</v>
      </c>
      <c r="B1" s="1"/>
      <c r="C1" s="1"/>
    </row>
    <row r="2" customFormat="false" ht="15" hidden="false" customHeight="false" outlineLevel="0" collapsed="false">
      <c r="A2" s="2" t="s">
        <v>147</v>
      </c>
      <c r="B2" s="2"/>
      <c r="C2" s="2"/>
    </row>
    <row r="4" customFormat="false" ht="19.5" hidden="false" customHeight="true" outlineLevel="0" collapsed="false">
      <c r="A4" s="3" t="s">
        <v>148</v>
      </c>
      <c r="B4" s="3"/>
      <c r="C4" s="3"/>
    </row>
    <row r="5" customFormat="false" ht="30" hidden="false" customHeight="true" outlineLevel="0" collapsed="false">
      <c r="A5" s="9" t="s">
        <v>149</v>
      </c>
      <c r="B5" s="9" t="s">
        <v>150</v>
      </c>
      <c r="C5" s="9" t="s">
        <v>151</v>
      </c>
    </row>
    <row r="6" customFormat="false" ht="15" hidden="false" customHeight="false" outlineLevel="0" collapsed="false">
      <c r="A6" s="6" t="s">
        <v>152</v>
      </c>
      <c r="B6" s="6" t="s">
        <v>153</v>
      </c>
      <c r="C6" s="6" t="s">
        <v>154</v>
      </c>
    </row>
    <row r="7" customFormat="false" ht="15" hidden="false" customHeight="false" outlineLevel="0" collapsed="false">
      <c r="A7" s="8" t="s">
        <v>155</v>
      </c>
      <c r="B7" s="8" t="s">
        <v>156</v>
      </c>
      <c r="C7" s="8" t="s">
        <v>157</v>
      </c>
    </row>
    <row r="8" customFormat="false" ht="15" hidden="false" customHeight="false" outlineLevel="0" collapsed="false">
      <c r="A8" s="6" t="s">
        <v>158</v>
      </c>
      <c r="B8" s="6" t="s">
        <v>156</v>
      </c>
      <c r="C8" s="6" t="s">
        <v>157</v>
      </c>
    </row>
    <row r="9" customFormat="false" ht="15" hidden="false" customHeight="false" outlineLevel="0" collapsed="false">
      <c r="A9" s="8" t="s">
        <v>159</v>
      </c>
      <c r="B9" s="8" t="s">
        <v>160</v>
      </c>
      <c r="C9" s="8" t="s">
        <v>161</v>
      </c>
    </row>
    <row r="10" customFormat="false" ht="15" hidden="false" customHeight="false" outlineLevel="0" collapsed="false">
      <c r="A10" s="6" t="s">
        <v>162</v>
      </c>
      <c r="B10" s="6" t="s">
        <v>163</v>
      </c>
      <c r="C10" s="6" t="s">
        <v>164</v>
      </c>
    </row>
    <row r="11" customFormat="false" ht="15" hidden="false" customHeight="false" outlineLevel="0" collapsed="false">
      <c r="A11" s="8" t="s">
        <v>165</v>
      </c>
      <c r="B11" s="8" t="s">
        <v>166</v>
      </c>
      <c r="C11" s="8" t="s">
        <v>167</v>
      </c>
    </row>
    <row r="12" customFormat="false" ht="15" hidden="false" customHeight="false" outlineLevel="0" collapsed="false">
      <c r="A12" s="6" t="s">
        <v>168</v>
      </c>
      <c r="B12" s="6" t="s">
        <v>169</v>
      </c>
      <c r="C12" s="6" t="s">
        <v>170</v>
      </c>
    </row>
    <row r="13" customFormat="false" ht="15" hidden="false" customHeight="false" outlineLevel="0" collapsed="false">
      <c r="A13" s="8" t="s">
        <v>171</v>
      </c>
      <c r="B13" s="8" t="s">
        <v>172</v>
      </c>
      <c r="C13" s="8" t="s">
        <v>173</v>
      </c>
    </row>
    <row r="14" customFormat="false" ht="15" hidden="false" customHeight="false" outlineLevel="0" collapsed="false">
      <c r="A14" s="6" t="s">
        <v>174</v>
      </c>
      <c r="B14" s="6" t="s">
        <v>175</v>
      </c>
      <c r="C14" s="6" t="s">
        <v>176</v>
      </c>
    </row>
    <row r="16" customFormat="false" ht="19.5" hidden="false" customHeight="true" outlineLevel="0" collapsed="false">
      <c r="A16" s="3" t="s">
        <v>177</v>
      </c>
      <c r="B16" s="3"/>
      <c r="C16" s="3"/>
    </row>
    <row r="17" customFormat="false" ht="30" hidden="false" customHeight="true" outlineLevel="0" collapsed="false">
      <c r="A17" s="9" t="s">
        <v>178</v>
      </c>
      <c r="B17" s="9" t="s">
        <v>179</v>
      </c>
      <c r="C17" s="9" t="s">
        <v>40</v>
      </c>
    </row>
    <row r="18" customFormat="false" ht="15" hidden="false" customHeight="false" outlineLevel="0" collapsed="false">
      <c r="A18" s="6" t="s">
        <v>180</v>
      </c>
      <c r="B18" s="6" t="s">
        <v>181</v>
      </c>
      <c r="C18" s="6" t="s">
        <v>182</v>
      </c>
    </row>
    <row r="19" customFormat="false" ht="15" hidden="false" customHeight="false" outlineLevel="0" collapsed="false">
      <c r="A19" s="8" t="s">
        <v>183</v>
      </c>
      <c r="B19" s="8" t="s">
        <v>160</v>
      </c>
      <c r="C19" s="8" t="s">
        <v>184</v>
      </c>
    </row>
    <row r="20" customFormat="false" ht="26.85" hidden="false" customHeight="false" outlineLevel="0" collapsed="false">
      <c r="A20" s="6" t="s">
        <v>185</v>
      </c>
      <c r="B20" s="6" t="s">
        <v>186</v>
      </c>
      <c r="C20" s="6" t="s">
        <v>187</v>
      </c>
    </row>
    <row r="21" customFormat="false" ht="15" hidden="false" customHeight="false" outlineLevel="0" collapsed="false">
      <c r="A21" s="8" t="s">
        <v>188</v>
      </c>
      <c r="B21" s="8" t="s">
        <v>189</v>
      </c>
      <c r="C21" s="8" t="s">
        <v>190</v>
      </c>
    </row>
    <row r="22" customFormat="false" ht="15" hidden="false" customHeight="false" outlineLevel="0" collapsed="false">
      <c r="A22" s="6" t="s">
        <v>191</v>
      </c>
      <c r="B22" s="6" t="s">
        <v>192</v>
      </c>
      <c r="C22" s="6" t="s">
        <v>193</v>
      </c>
    </row>
    <row r="23" customFormat="false" ht="26.85" hidden="false" customHeight="false" outlineLevel="0" collapsed="false">
      <c r="A23" s="8" t="s">
        <v>194</v>
      </c>
      <c r="B23" s="8" t="s">
        <v>163</v>
      </c>
      <c r="C23" s="8" t="s">
        <v>195</v>
      </c>
    </row>
    <row r="25" customFormat="false" ht="19.5" hidden="false" customHeight="true" outlineLevel="0" collapsed="false">
      <c r="A25" s="3" t="s">
        <v>196</v>
      </c>
      <c r="B25" s="3"/>
      <c r="C25" s="3"/>
    </row>
    <row r="26" customFormat="false" ht="30" hidden="false" customHeight="true" outlineLevel="0" collapsed="false">
      <c r="A26" s="9" t="s">
        <v>197</v>
      </c>
      <c r="B26" s="9" t="s">
        <v>198</v>
      </c>
      <c r="C26" s="9" t="s">
        <v>40</v>
      </c>
    </row>
    <row r="27" customFormat="false" ht="15" hidden="false" customHeight="false" outlineLevel="0" collapsed="false">
      <c r="A27" s="6" t="s">
        <v>199</v>
      </c>
      <c r="B27" s="6" t="s">
        <v>200</v>
      </c>
      <c r="C27" s="6" t="s">
        <v>201</v>
      </c>
    </row>
    <row r="28" customFormat="false" ht="26.85" hidden="false" customHeight="false" outlineLevel="0" collapsed="false">
      <c r="A28" s="8" t="s">
        <v>202</v>
      </c>
      <c r="B28" s="8" t="s">
        <v>203</v>
      </c>
      <c r="C28" s="8" t="s">
        <v>204</v>
      </c>
    </row>
    <row r="29" customFormat="false" ht="26.85" hidden="false" customHeight="false" outlineLevel="0" collapsed="false">
      <c r="A29" s="6" t="s">
        <v>205</v>
      </c>
      <c r="B29" s="6" t="s">
        <v>206</v>
      </c>
      <c r="C29" s="6" t="s">
        <v>207</v>
      </c>
    </row>
    <row r="30" customFormat="false" ht="26.85" hidden="false" customHeight="false" outlineLevel="0" collapsed="false">
      <c r="A30" s="8" t="s">
        <v>208</v>
      </c>
      <c r="B30" s="8" t="s">
        <v>209</v>
      </c>
      <c r="C30" s="8" t="s">
        <v>210</v>
      </c>
    </row>
    <row r="32" customFormat="false" ht="19.5" hidden="false" customHeight="true" outlineLevel="0" collapsed="false">
      <c r="A32" s="3" t="s">
        <v>211</v>
      </c>
      <c r="B32" s="3"/>
      <c r="C32" s="3"/>
    </row>
    <row r="33" customFormat="false" ht="30" hidden="false" customHeight="true" outlineLevel="0" collapsed="false">
      <c r="A33" s="9" t="s">
        <v>178</v>
      </c>
      <c r="B33" s="9" t="s">
        <v>212</v>
      </c>
      <c r="C33" s="9" t="s">
        <v>40</v>
      </c>
    </row>
    <row r="34" customFormat="false" ht="15" hidden="false" customHeight="false" outlineLevel="0" collapsed="false">
      <c r="A34" s="6" t="s">
        <v>213</v>
      </c>
      <c r="B34" s="6" t="s">
        <v>189</v>
      </c>
      <c r="C34" s="6" t="s">
        <v>214</v>
      </c>
    </row>
    <row r="35" customFormat="false" ht="26.85" hidden="false" customHeight="false" outlineLevel="0" collapsed="false">
      <c r="A35" s="8" t="s">
        <v>215</v>
      </c>
      <c r="B35" s="8" t="s">
        <v>216</v>
      </c>
      <c r="C35" s="8" t="s">
        <v>217</v>
      </c>
    </row>
    <row r="36" customFormat="false" ht="15" hidden="false" customHeight="false" outlineLevel="0" collapsed="false">
      <c r="A36" s="6" t="s">
        <v>218</v>
      </c>
      <c r="B36" s="6" t="s">
        <v>219</v>
      </c>
      <c r="C36" s="6" t="s">
        <v>220</v>
      </c>
    </row>
    <row r="37" customFormat="false" ht="15" hidden="false" customHeight="false" outlineLevel="0" collapsed="false">
      <c r="A37" s="8" t="s">
        <v>221</v>
      </c>
      <c r="B37" s="8" t="s">
        <v>222</v>
      </c>
      <c r="C37" s="8" t="s">
        <v>223</v>
      </c>
    </row>
    <row r="38" customFormat="false" ht="26.85" hidden="false" customHeight="false" outlineLevel="0" collapsed="false">
      <c r="A38" s="6" t="s">
        <v>224</v>
      </c>
      <c r="B38" s="6" t="s">
        <v>225</v>
      </c>
      <c r="C38" s="6" t="s">
        <v>226</v>
      </c>
    </row>
    <row r="39" customFormat="false" ht="26.85" hidden="false" customHeight="false" outlineLevel="0" collapsed="false">
      <c r="A39" s="8" t="s">
        <v>227</v>
      </c>
      <c r="B39" s="8" t="s">
        <v>175</v>
      </c>
      <c r="C39" s="8" t="s">
        <v>228</v>
      </c>
    </row>
    <row r="40" customFormat="false" ht="26.85" hidden="false" customHeight="false" outlineLevel="0" collapsed="false">
      <c r="A40" s="6" t="s">
        <v>229</v>
      </c>
      <c r="B40" s="6" t="s">
        <v>230</v>
      </c>
      <c r="C40" s="6" t="s">
        <v>231</v>
      </c>
    </row>
    <row r="41" customFormat="false" ht="26.85" hidden="false" customHeight="false" outlineLevel="0" collapsed="false">
      <c r="A41" s="8" t="s">
        <v>232</v>
      </c>
      <c r="B41" s="8" t="s">
        <v>233</v>
      </c>
      <c r="C41" s="8" t="s">
        <v>234</v>
      </c>
    </row>
    <row r="43" customFormat="false" ht="22.35" hidden="false" customHeight="true" outlineLevel="0" collapsed="false">
      <c r="A43" s="12" t="s">
        <v>235</v>
      </c>
      <c r="B43" s="12"/>
      <c r="C43" s="12"/>
    </row>
  </sheetData>
  <mergeCells count="7">
    <mergeCell ref="A1:C1"/>
    <mergeCell ref="A2:C2"/>
    <mergeCell ref="A4:C4"/>
    <mergeCell ref="A16:C16"/>
    <mergeCell ref="A25:C25"/>
    <mergeCell ref="A32:C32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36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236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237</v>
      </c>
      <c r="B4" s="3"/>
      <c r="C4" s="3"/>
      <c r="D4" s="3"/>
      <c r="E4" s="3"/>
    </row>
    <row r="5" customFormat="false" ht="30" hidden="false" customHeight="true" outlineLevel="0" collapsed="false">
      <c r="A5" s="9" t="s">
        <v>238</v>
      </c>
      <c r="B5" s="9" t="s">
        <v>239</v>
      </c>
      <c r="C5" s="9" t="s">
        <v>240</v>
      </c>
      <c r="D5" s="9" t="s">
        <v>241</v>
      </c>
      <c r="E5" s="9" t="s">
        <v>242</v>
      </c>
    </row>
    <row r="6" customFormat="false" ht="15" hidden="false" customHeight="false" outlineLevel="0" collapsed="false">
      <c r="A6" s="6" t="s">
        <v>243</v>
      </c>
      <c r="B6" s="13" t="n">
        <v>100</v>
      </c>
      <c r="C6" s="6" t="s">
        <v>244</v>
      </c>
      <c r="D6" s="14" t="n">
        <v>0.99</v>
      </c>
      <c r="E6" s="15" t="n">
        <f aca="false">D6/B6*100</f>
        <v>0.99</v>
      </c>
    </row>
    <row r="7" customFormat="false" ht="15" hidden="false" customHeight="false" outlineLevel="0" collapsed="false">
      <c r="A7" s="8" t="s">
        <v>245</v>
      </c>
      <c r="B7" s="16" t="n">
        <v>550</v>
      </c>
      <c r="C7" s="8" t="s">
        <v>246</v>
      </c>
      <c r="D7" s="17" t="n">
        <v>4.99</v>
      </c>
      <c r="E7" s="18" t="n">
        <f aca="false">D7/B7*100</f>
        <v>0.907272727272728</v>
      </c>
    </row>
    <row r="8" customFormat="false" ht="15" hidden="false" customHeight="false" outlineLevel="0" collapsed="false">
      <c r="A8" s="6" t="s">
        <v>247</v>
      </c>
      <c r="B8" s="13" t="n">
        <v>1200</v>
      </c>
      <c r="C8" s="6" t="s">
        <v>248</v>
      </c>
      <c r="D8" s="14" t="n">
        <v>9.99</v>
      </c>
      <c r="E8" s="15" t="n">
        <f aca="false">D8/B8*100</f>
        <v>0.8325</v>
      </c>
    </row>
    <row r="9" customFormat="false" ht="15" hidden="false" customHeight="false" outlineLevel="0" collapsed="false">
      <c r="A9" s="8" t="s">
        <v>249</v>
      </c>
      <c r="B9" s="16" t="n">
        <v>2500</v>
      </c>
      <c r="C9" s="8" t="s">
        <v>250</v>
      </c>
      <c r="D9" s="17" t="n">
        <v>19.99</v>
      </c>
      <c r="E9" s="18" t="n">
        <f aca="false">D9/B9*100</f>
        <v>0.7996</v>
      </c>
    </row>
    <row r="10" customFormat="false" ht="15" hidden="false" customHeight="false" outlineLevel="0" collapsed="false">
      <c r="A10" s="6" t="s">
        <v>251</v>
      </c>
      <c r="B10" s="13" t="n">
        <v>6500</v>
      </c>
      <c r="C10" s="6" t="s">
        <v>252</v>
      </c>
      <c r="D10" s="14" t="n">
        <v>49.99</v>
      </c>
      <c r="E10" s="15" t="n">
        <f aca="false">D10/B10*100</f>
        <v>0.769076923076923</v>
      </c>
    </row>
    <row r="12" customFormat="false" ht="19.5" hidden="false" customHeight="true" outlineLevel="0" collapsed="false">
      <c r="A12" s="3" t="s">
        <v>253</v>
      </c>
      <c r="B12" s="3"/>
      <c r="C12" s="3"/>
      <c r="D12" s="3"/>
      <c r="E12" s="3"/>
    </row>
    <row r="13" customFormat="false" ht="30" hidden="false" customHeight="true" outlineLevel="0" collapsed="false">
      <c r="A13" s="9" t="s">
        <v>238</v>
      </c>
      <c r="B13" s="9" t="s">
        <v>254</v>
      </c>
      <c r="C13" s="9" t="s">
        <v>240</v>
      </c>
      <c r="D13" s="9" t="s">
        <v>241</v>
      </c>
      <c r="E13" s="9" t="s">
        <v>255</v>
      </c>
    </row>
    <row r="14" customFormat="false" ht="15" hidden="false" customHeight="false" outlineLevel="0" collapsed="false">
      <c r="A14" s="6" t="s">
        <v>256</v>
      </c>
      <c r="B14" s="13" t="n">
        <v>500</v>
      </c>
      <c r="C14" s="6" t="s">
        <v>244</v>
      </c>
      <c r="D14" s="14" t="n">
        <v>0.99</v>
      </c>
      <c r="E14" s="15" t="n">
        <f aca="false">D14/B14*1000</f>
        <v>1.98</v>
      </c>
    </row>
    <row r="15" customFormat="false" ht="15" hidden="false" customHeight="false" outlineLevel="0" collapsed="false">
      <c r="A15" s="8" t="s">
        <v>257</v>
      </c>
      <c r="B15" s="16" t="n">
        <v>3000</v>
      </c>
      <c r="C15" s="8" t="s">
        <v>258</v>
      </c>
      <c r="D15" s="17" t="n">
        <v>4.99</v>
      </c>
      <c r="E15" s="18" t="n">
        <f aca="false">D15/B15*1000</f>
        <v>1.66333333333333</v>
      </c>
    </row>
    <row r="16" customFormat="false" ht="15" hidden="false" customHeight="false" outlineLevel="0" collapsed="false">
      <c r="A16" s="6" t="s">
        <v>259</v>
      </c>
      <c r="B16" s="13" t="n">
        <v>7000</v>
      </c>
      <c r="C16" s="6" t="s">
        <v>250</v>
      </c>
      <c r="D16" s="14" t="n">
        <v>9.99</v>
      </c>
      <c r="E16" s="15" t="n">
        <f aca="false">D16/B16*1000</f>
        <v>1.42714285714286</v>
      </c>
    </row>
    <row r="18" customFormat="false" ht="19.5" hidden="false" customHeight="true" outlineLevel="0" collapsed="false">
      <c r="A18" s="3" t="s">
        <v>260</v>
      </c>
      <c r="B18" s="3"/>
      <c r="C18" s="3"/>
      <c r="D18" s="3"/>
      <c r="E18" s="3"/>
    </row>
    <row r="19" customFormat="false" ht="30" hidden="false" customHeight="true" outlineLevel="0" collapsed="false">
      <c r="A19" s="9" t="s">
        <v>261</v>
      </c>
      <c r="B19" s="9" t="s">
        <v>262</v>
      </c>
      <c r="C19" s="9" t="s">
        <v>263</v>
      </c>
      <c r="D19" s="9" t="s">
        <v>264</v>
      </c>
      <c r="E19" s="9" t="s">
        <v>265</v>
      </c>
    </row>
    <row r="20" customFormat="false" ht="15" hidden="false" customHeight="false" outlineLevel="0" collapsed="false">
      <c r="A20" s="6" t="s">
        <v>266</v>
      </c>
      <c r="B20" s="6" t="s">
        <v>267</v>
      </c>
      <c r="C20" s="6" t="s">
        <v>267</v>
      </c>
      <c r="D20" s="6" t="s">
        <v>137</v>
      </c>
      <c r="E20" s="6" t="s">
        <v>268</v>
      </c>
    </row>
    <row r="21" customFormat="false" ht="15" hidden="false" customHeight="false" outlineLevel="0" collapsed="false">
      <c r="A21" s="8" t="s">
        <v>269</v>
      </c>
      <c r="B21" s="8" t="s">
        <v>270</v>
      </c>
      <c r="C21" s="8" t="s">
        <v>271</v>
      </c>
      <c r="D21" s="8" t="s">
        <v>222</v>
      </c>
      <c r="E21" s="8" t="s">
        <v>272</v>
      </c>
    </row>
    <row r="22" customFormat="false" ht="15" hidden="false" customHeight="false" outlineLevel="0" collapsed="false">
      <c r="A22" s="6" t="s">
        <v>273</v>
      </c>
      <c r="B22" s="6" t="s">
        <v>274</v>
      </c>
      <c r="C22" s="6" t="s">
        <v>275</v>
      </c>
      <c r="D22" s="6" t="s">
        <v>276</v>
      </c>
      <c r="E22" s="6" t="s">
        <v>277</v>
      </c>
    </row>
    <row r="24" customFormat="false" ht="22.35" hidden="false" customHeight="true" outlineLevel="0" collapsed="false">
      <c r="A24" s="12" t="s">
        <v>278</v>
      </c>
      <c r="B24" s="12"/>
      <c r="C24" s="12"/>
      <c r="D24" s="12"/>
      <c r="E24" s="12"/>
    </row>
  </sheetData>
  <mergeCells count="6">
    <mergeCell ref="A1:E1"/>
    <mergeCell ref="A2:E2"/>
    <mergeCell ref="A4:E4"/>
    <mergeCell ref="A12:E12"/>
    <mergeCell ref="A18:E18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</cols>
  <sheetData>
    <row r="1" customFormat="false" ht="25.5" hidden="false" customHeight="true" outlineLevel="0" collapsed="false">
      <c r="A1" s="1" t="s">
        <v>22</v>
      </c>
      <c r="B1" s="1"/>
    </row>
    <row r="2" customFormat="false" ht="15" hidden="false" customHeight="false" outlineLevel="0" collapsed="false">
      <c r="A2" s="2" t="s">
        <v>279</v>
      </c>
      <c r="B2" s="2"/>
    </row>
    <row r="4" customFormat="false" ht="19.5" hidden="false" customHeight="true" outlineLevel="0" collapsed="false">
      <c r="A4" s="3" t="s">
        <v>280</v>
      </c>
      <c r="B4" s="3"/>
    </row>
    <row r="5" customFormat="false" ht="39.55" hidden="false" customHeight="false" outlineLevel="0" collapsed="false">
      <c r="A5" s="10" t="s">
        <v>281</v>
      </c>
      <c r="B5" s="6" t="s">
        <v>282</v>
      </c>
    </row>
    <row r="6" customFormat="false" ht="52.2" hidden="false" customHeight="false" outlineLevel="0" collapsed="false">
      <c r="A6" s="11" t="s">
        <v>283</v>
      </c>
      <c r="B6" s="8" t="s">
        <v>284</v>
      </c>
    </row>
    <row r="7" customFormat="false" ht="39.55" hidden="false" customHeight="false" outlineLevel="0" collapsed="false">
      <c r="A7" s="10" t="s">
        <v>285</v>
      </c>
      <c r="B7" s="6" t="s">
        <v>286</v>
      </c>
    </row>
    <row r="8" customFormat="false" ht="39.55" hidden="false" customHeight="false" outlineLevel="0" collapsed="false">
      <c r="A8" s="11" t="s">
        <v>287</v>
      </c>
      <c r="B8" s="8" t="s">
        <v>288</v>
      </c>
    </row>
    <row r="10" customFormat="false" ht="19.5" hidden="false" customHeight="true" outlineLevel="0" collapsed="false">
      <c r="A10" s="3" t="s">
        <v>289</v>
      </c>
      <c r="B10" s="3"/>
    </row>
    <row r="11" customFormat="false" ht="30" hidden="false" customHeight="true" outlineLevel="0" collapsed="false">
      <c r="A11" s="9" t="s">
        <v>290</v>
      </c>
      <c r="B11" s="9" t="s">
        <v>291</v>
      </c>
    </row>
    <row r="12" customFormat="false" ht="15" hidden="false" customHeight="false" outlineLevel="0" collapsed="false">
      <c r="A12" s="6" t="s">
        <v>95</v>
      </c>
      <c r="B12" s="6" t="s">
        <v>292</v>
      </c>
    </row>
    <row r="13" customFormat="false" ht="15" hidden="false" customHeight="false" outlineLevel="0" collapsed="false">
      <c r="A13" s="8" t="s">
        <v>269</v>
      </c>
      <c r="B13" s="8" t="s">
        <v>293</v>
      </c>
    </row>
    <row r="14" customFormat="false" ht="15" hidden="false" customHeight="false" outlineLevel="0" collapsed="false">
      <c r="A14" s="6" t="s">
        <v>273</v>
      </c>
      <c r="B14" s="6" t="s">
        <v>125</v>
      </c>
    </row>
    <row r="15" customFormat="false" ht="15" hidden="false" customHeight="false" outlineLevel="0" collapsed="false">
      <c r="A15" s="8" t="s">
        <v>294</v>
      </c>
      <c r="B15" s="8" t="s">
        <v>295</v>
      </c>
    </row>
    <row r="17" customFormat="false" ht="19.5" hidden="false" customHeight="true" outlineLevel="0" collapsed="false">
      <c r="A17" s="3" t="s">
        <v>296</v>
      </c>
      <c r="B17" s="3"/>
    </row>
    <row r="18" customFormat="false" ht="15" hidden="false" customHeight="true" outlineLevel="0" collapsed="false">
      <c r="A18" s="4" t="s">
        <v>297</v>
      </c>
      <c r="B18" s="4"/>
    </row>
    <row r="19" customFormat="false" ht="15" hidden="false" customHeight="false" outlineLevel="0" collapsed="false">
      <c r="A19" s="4"/>
      <c r="B19" s="4"/>
    </row>
    <row r="20" customFormat="false" ht="15" hidden="false" customHeight="false" outlineLevel="0" collapsed="false">
      <c r="A20" s="4"/>
      <c r="B20" s="4"/>
    </row>
    <row r="21" customFormat="false" ht="15" hidden="false" customHeight="false" outlineLevel="0" collapsed="false">
      <c r="A21" s="4"/>
      <c r="B21" s="4"/>
    </row>
    <row r="23" customFormat="false" ht="19.5" hidden="false" customHeight="true" outlineLevel="0" collapsed="false">
      <c r="A23" s="3" t="s">
        <v>298</v>
      </c>
      <c r="B23" s="3"/>
    </row>
    <row r="24" customFormat="false" ht="15" hidden="false" customHeight="true" outlineLevel="0" collapsed="false">
      <c r="A24" s="4" t="s">
        <v>299</v>
      </c>
      <c r="B24" s="4"/>
    </row>
    <row r="25" customFormat="false" ht="15" hidden="false" customHeight="false" outlineLevel="0" collapsed="false">
      <c r="A25" s="4"/>
      <c r="B25" s="4"/>
    </row>
  </sheetData>
  <mergeCells count="8">
    <mergeCell ref="A1:B1"/>
    <mergeCell ref="A2:B2"/>
    <mergeCell ref="A4:B4"/>
    <mergeCell ref="A10:B10"/>
    <mergeCell ref="A17:B17"/>
    <mergeCell ref="A18:B21"/>
    <mergeCell ref="A23:B23"/>
    <mergeCell ref="A24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1" t="s">
        <v>300</v>
      </c>
      <c r="B1" s="1"/>
      <c r="C1" s="1"/>
      <c r="D1" s="1"/>
    </row>
    <row r="2" customFormat="false" ht="15" hidden="false" customHeight="false" outlineLevel="0" collapsed="false">
      <c r="A2" s="2" t="s">
        <v>301</v>
      </c>
      <c r="B2" s="2"/>
      <c r="C2" s="2"/>
      <c r="D2" s="2"/>
    </row>
    <row r="4" customFormat="false" ht="30" hidden="false" customHeight="true" outlineLevel="0" collapsed="false">
      <c r="A4" s="9" t="s">
        <v>302</v>
      </c>
      <c r="B4" s="9" t="s">
        <v>303</v>
      </c>
      <c r="C4" s="9" t="s">
        <v>197</v>
      </c>
      <c r="D4" s="9" t="s">
        <v>40</v>
      </c>
    </row>
    <row r="5" customFormat="false" ht="26.85" hidden="false" customHeight="false" outlineLevel="0" collapsed="false">
      <c r="A5" s="6" t="s">
        <v>304</v>
      </c>
      <c r="B5" s="6" t="s">
        <v>305</v>
      </c>
      <c r="C5" s="6" t="s">
        <v>306</v>
      </c>
      <c r="D5" s="6" t="s">
        <v>307</v>
      </c>
    </row>
    <row r="6" customFormat="false" ht="26.85" hidden="false" customHeight="false" outlineLevel="0" collapsed="false">
      <c r="A6" s="8" t="s">
        <v>308</v>
      </c>
      <c r="B6" s="8" t="s">
        <v>305</v>
      </c>
      <c r="C6" s="8" t="s">
        <v>306</v>
      </c>
      <c r="D6" s="8" t="s">
        <v>309</v>
      </c>
    </row>
    <row r="7" customFormat="false" ht="26.85" hidden="false" customHeight="false" outlineLevel="0" collapsed="false">
      <c r="A7" s="6" t="s">
        <v>310</v>
      </c>
      <c r="B7" s="6" t="s">
        <v>311</v>
      </c>
      <c r="C7" s="6" t="s">
        <v>312</v>
      </c>
      <c r="D7" s="6" t="s">
        <v>313</v>
      </c>
    </row>
    <row r="8" customFormat="false" ht="26.85" hidden="false" customHeight="false" outlineLevel="0" collapsed="false">
      <c r="A8" s="8" t="s">
        <v>103</v>
      </c>
      <c r="B8" s="8" t="s">
        <v>314</v>
      </c>
      <c r="C8" s="8" t="s">
        <v>315</v>
      </c>
      <c r="D8" s="8" t="s">
        <v>316</v>
      </c>
    </row>
    <row r="9" customFormat="false" ht="26.85" hidden="false" customHeight="false" outlineLevel="0" collapsed="false">
      <c r="A9" s="6" t="s">
        <v>317</v>
      </c>
      <c r="B9" s="6" t="s">
        <v>318</v>
      </c>
      <c r="C9" s="6" t="s">
        <v>319</v>
      </c>
      <c r="D9" s="6" t="s">
        <v>320</v>
      </c>
    </row>
    <row r="10" customFormat="false" ht="26.85" hidden="false" customHeight="false" outlineLevel="0" collapsed="false">
      <c r="A10" s="8" t="s">
        <v>321</v>
      </c>
      <c r="B10" s="8" t="s">
        <v>322</v>
      </c>
      <c r="C10" s="8" t="s">
        <v>323</v>
      </c>
      <c r="D10" s="8" t="s">
        <v>324</v>
      </c>
    </row>
    <row r="11" customFormat="false" ht="26.85" hidden="false" customHeight="false" outlineLevel="0" collapsed="false">
      <c r="A11" s="6" t="s">
        <v>325</v>
      </c>
      <c r="B11" s="6" t="s">
        <v>326</v>
      </c>
      <c r="C11" s="6" t="s">
        <v>327</v>
      </c>
      <c r="D11" s="6" t="s">
        <v>328</v>
      </c>
    </row>
    <row r="12" customFormat="false" ht="26.85" hidden="false" customHeight="false" outlineLevel="0" collapsed="false">
      <c r="A12" s="8" t="s">
        <v>329</v>
      </c>
      <c r="B12" s="8" t="s">
        <v>330</v>
      </c>
      <c r="C12" s="8" t="s">
        <v>331</v>
      </c>
      <c r="D12" s="8" t="s">
        <v>332</v>
      </c>
    </row>
    <row r="14" customFormat="false" ht="19.5" hidden="false" customHeight="true" outlineLevel="0" collapsed="false">
      <c r="A14" s="3" t="s">
        <v>333</v>
      </c>
      <c r="B14" s="3"/>
      <c r="C14" s="3"/>
      <c r="D14" s="3"/>
    </row>
    <row r="15" customFormat="false" ht="52.2" hidden="false" customHeight="false" outlineLevel="0" collapsed="false">
      <c r="A15" s="10" t="s">
        <v>334</v>
      </c>
      <c r="B15" s="6" t="s">
        <v>335</v>
      </c>
      <c r="C15" s="6"/>
      <c r="D15" s="6"/>
    </row>
    <row r="16" customFormat="false" ht="77.6" hidden="false" customHeight="false" outlineLevel="0" collapsed="false">
      <c r="A16" s="11" t="s">
        <v>336</v>
      </c>
      <c r="B16" s="8" t="s">
        <v>337</v>
      </c>
      <c r="C16" s="8"/>
      <c r="D16" s="8"/>
    </row>
    <row r="17" customFormat="false" ht="115.65" hidden="false" customHeight="false" outlineLevel="0" collapsed="false">
      <c r="A17" s="10" t="s">
        <v>338</v>
      </c>
      <c r="B17" s="6" t="s">
        <v>339</v>
      </c>
      <c r="C17" s="6"/>
      <c r="D17" s="6"/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25.5" hidden="false" customHeight="true" outlineLevel="0" collapsed="false">
      <c r="A1" s="1" t="s">
        <v>26</v>
      </c>
      <c r="B1" s="1"/>
      <c r="C1" s="1"/>
    </row>
    <row r="2" customFormat="false" ht="15" hidden="false" customHeight="false" outlineLevel="0" collapsed="false">
      <c r="A2" s="2" t="s">
        <v>340</v>
      </c>
      <c r="B2" s="2"/>
      <c r="C2" s="2"/>
    </row>
    <row r="4" customFormat="false" ht="19.5" hidden="false" customHeight="true" outlineLevel="0" collapsed="false">
      <c r="A4" s="3" t="s">
        <v>341</v>
      </c>
      <c r="B4" s="3"/>
      <c r="C4" s="3"/>
    </row>
    <row r="5" customFormat="false" ht="30" hidden="false" customHeight="true" outlineLevel="0" collapsed="false">
      <c r="A5" s="9" t="s">
        <v>342</v>
      </c>
      <c r="B5" s="9" t="s">
        <v>343</v>
      </c>
      <c r="C5" s="9" t="s">
        <v>344</v>
      </c>
    </row>
    <row r="6" customFormat="false" ht="15" hidden="false" customHeight="false" outlineLevel="0" collapsed="false">
      <c r="A6" s="6" t="s">
        <v>345</v>
      </c>
      <c r="B6" s="19" t="n">
        <v>5000</v>
      </c>
      <c r="C6" s="20" t="s">
        <v>346</v>
      </c>
    </row>
    <row r="7" customFormat="false" ht="15" hidden="false" customHeight="false" outlineLevel="0" collapsed="false">
      <c r="A7" s="6" t="s">
        <v>347</v>
      </c>
      <c r="B7" s="21" t="n">
        <v>0.12</v>
      </c>
      <c r="C7" s="20" t="s">
        <v>348</v>
      </c>
    </row>
    <row r="8" customFormat="false" ht="15" hidden="false" customHeight="false" outlineLevel="0" collapsed="false">
      <c r="A8" s="6" t="s">
        <v>349</v>
      </c>
      <c r="B8" s="21" t="n">
        <v>0.08</v>
      </c>
      <c r="C8" s="20" t="s">
        <v>350</v>
      </c>
    </row>
    <row r="10" customFormat="false" ht="19.5" hidden="false" customHeight="true" outlineLevel="0" collapsed="false">
      <c r="A10" s="3" t="s">
        <v>351</v>
      </c>
      <c r="B10" s="3"/>
      <c r="C10" s="3"/>
    </row>
    <row r="11" customFormat="false" ht="30" hidden="false" customHeight="true" outlineLevel="0" collapsed="false">
      <c r="A11" s="9" t="s">
        <v>342</v>
      </c>
      <c r="B11" s="9" t="s">
        <v>343</v>
      </c>
      <c r="C11" s="9" t="s">
        <v>344</v>
      </c>
    </row>
    <row r="12" customFormat="false" ht="15" hidden="false" customHeight="false" outlineLevel="0" collapsed="false">
      <c r="A12" s="6" t="s">
        <v>352</v>
      </c>
      <c r="B12" s="21" t="n">
        <v>0.04</v>
      </c>
      <c r="C12" s="20" t="s">
        <v>353</v>
      </c>
    </row>
    <row r="13" customFormat="false" ht="15" hidden="false" customHeight="false" outlineLevel="0" collapsed="false">
      <c r="A13" s="6" t="s">
        <v>354</v>
      </c>
      <c r="B13" s="21" t="n">
        <v>0.7</v>
      </c>
      <c r="C13" s="20" t="s">
        <v>355</v>
      </c>
    </row>
    <row r="14" customFormat="false" ht="15" hidden="false" customHeight="false" outlineLevel="0" collapsed="false">
      <c r="A14" s="6" t="s">
        <v>356</v>
      </c>
      <c r="B14" s="21" t="n">
        <v>0.3</v>
      </c>
      <c r="C14" s="20" t="s">
        <v>357</v>
      </c>
    </row>
    <row r="15" customFormat="false" ht="15" hidden="false" customHeight="false" outlineLevel="0" collapsed="false">
      <c r="A15" s="6" t="s">
        <v>358</v>
      </c>
      <c r="B15" s="22" t="n">
        <v>4.99</v>
      </c>
      <c r="C15" s="20" t="s">
        <v>359</v>
      </c>
    </row>
    <row r="16" customFormat="false" ht="15" hidden="false" customHeight="false" outlineLevel="0" collapsed="false">
      <c r="A16" s="6" t="s">
        <v>360</v>
      </c>
      <c r="B16" s="22" t="n">
        <v>9.99</v>
      </c>
      <c r="C16" s="20" t="s">
        <v>359</v>
      </c>
    </row>
    <row r="18" customFormat="false" ht="19.5" hidden="false" customHeight="true" outlineLevel="0" collapsed="false">
      <c r="A18" s="3" t="s">
        <v>361</v>
      </c>
      <c r="B18" s="3"/>
      <c r="C18" s="3"/>
    </row>
    <row r="19" customFormat="false" ht="30" hidden="false" customHeight="true" outlineLevel="0" collapsed="false">
      <c r="A19" s="9" t="s">
        <v>342</v>
      </c>
      <c r="B19" s="9" t="s">
        <v>343</v>
      </c>
      <c r="C19" s="9" t="s">
        <v>344</v>
      </c>
    </row>
    <row r="20" customFormat="false" ht="15" hidden="false" customHeight="false" outlineLevel="0" collapsed="false">
      <c r="A20" s="6" t="s">
        <v>362</v>
      </c>
      <c r="B20" s="21" t="n">
        <v>0.03</v>
      </c>
      <c r="C20" s="20" t="s">
        <v>363</v>
      </c>
    </row>
    <row r="21" customFormat="false" ht="15" hidden="false" customHeight="false" outlineLevel="0" collapsed="false">
      <c r="A21" s="6" t="s">
        <v>364</v>
      </c>
      <c r="B21" s="22" t="n">
        <v>4.99</v>
      </c>
      <c r="C21" s="20" t="s">
        <v>365</v>
      </c>
    </row>
    <row r="22" customFormat="false" ht="15" hidden="false" customHeight="false" outlineLevel="0" collapsed="false">
      <c r="A22" s="6" t="s">
        <v>366</v>
      </c>
      <c r="B22" s="21" t="n">
        <v>0.05</v>
      </c>
      <c r="C22" s="20" t="s">
        <v>367</v>
      </c>
    </row>
    <row r="23" customFormat="false" ht="15" hidden="false" customHeight="false" outlineLevel="0" collapsed="false">
      <c r="A23" s="6" t="s">
        <v>368</v>
      </c>
      <c r="B23" s="22" t="n">
        <v>9.99</v>
      </c>
      <c r="C23" s="20" t="s">
        <v>369</v>
      </c>
    </row>
    <row r="25" customFormat="false" ht="19.5" hidden="false" customHeight="true" outlineLevel="0" collapsed="false">
      <c r="A25" s="3" t="s">
        <v>370</v>
      </c>
      <c r="B25" s="3"/>
      <c r="C25" s="3"/>
    </row>
    <row r="26" customFormat="false" ht="30" hidden="false" customHeight="true" outlineLevel="0" collapsed="false">
      <c r="A26" s="9" t="s">
        <v>342</v>
      </c>
      <c r="B26" s="9" t="s">
        <v>343</v>
      </c>
      <c r="C26" s="9" t="s">
        <v>344</v>
      </c>
    </row>
    <row r="27" customFormat="false" ht="22.35" hidden="false" customHeight="false" outlineLevel="0" collapsed="false">
      <c r="A27" s="6" t="s">
        <v>371</v>
      </c>
      <c r="B27" s="22" t="n">
        <v>2.5</v>
      </c>
      <c r="C27" s="20" t="s">
        <v>372</v>
      </c>
    </row>
    <row r="28" customFormat="false" ht="15" hidden="false" customHeight="false" outlineLevel="0" collapsed="false">
      <c r="A28" s="6" t="s">
        <v>373</v>
      </c>
      <c r="B28" s="23" t="n">
        <v>8</v>
      </c>
      <c r="C28" s="20" t="s">
        <v>374</v>
      </c>
    </row>
    <row r="30" customFormat="false" ht="22.35" hidden="false" customHeight="true" outlineLevel="0" collapsed="false">
      <c r="A30" s="12" t="s">
        <v>375</v>
      </c>
      <c r="B30" s="12"/>
      <c r="C30" s="12"/>
    </row>
  </sheetData>
  <mergeCells count="7">
    <mergeCell ref="A1:C1"/>
    <mergeCell ref="A2:C2"/>
    <mergeCell ref="A4:C4"/>
    <mergeCell ref="A10:C10"/>
    <mergeCell ref="A18:C18"/>
    <mergeCell ref="A25:C25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2"/>
  </cols>
  <sheetData>
    <row r="1" customFormat="false" ht="25.5" hidden="false" customHeight="true" outlineLevel="0" collapsed="false">
      <c r="A1" s="1" t="s">
        <v>376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377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9" t="s">
        <v>378</v>
      </c>
      <c r="B4" s="9" t="s">
        <v>379</v>
      </c>
      <c r="C4" s="9" t="s">
        <v>380</v>
      </c>
      <c r="D4" s="9" t="s">
        <v>381</v>
      </c>
      <c r="E4" s="9" t="s">
        <v>382</v>
      </c>
      <c r="F4" s="9" t="s">
        <v>383</v>
      </c>
      <c r="G4" s="9" t="s">
        <v>384</v>
      </c>
      <c r="H4" s="9" t="s">
        <v>385</v>
      </c>
      <c r="I4" s="9" t="s">
        <v>386</v>
      </c>
      <c r="J4" s="9" t="s">
        <v>387</v>
      </c>
      <c r="K4" s="9" t="s">
        <v>388</v>
      </c>
      <c r="L4" s="9" t="s">
        <v>389</v>
      </c>
      <c r="M4" s="9" t="s">
        <v>390</v>
      </c>
    </row>
    <row r="5" customFormat="false" ht="15" hidden="false" customHeight="false" outlineLevel="0" collapsed="false">
      <c r="A5" s="24" t="s">
        <v>391</v>
      </c>
      <c r="B5" s="25" t="n">
        <f aca="false">'Revenue Assumptions'!$B$6</f>
        <v>5000</v>
      </c>
      <c r="C5" s="25" t="n">
        <f aca="false">B5*(1+'Revenue Assumptions'!$B$7)</f>
        <v>5600</v>
      </c>
      <c r="D5" s="25" t="n">
        <f aca="false">C5*(1+'Revenue Assumptions'!$B$7)</f>
        <v>6272</v>
      </c>
      <c r="E5" s="25" t="n">
        <f aca="false">D5*(1+'Revenue Assumptions'!$B$7)</f>
        <v>7024.64</v>
      </c>
      <c r="F5" s="25" t="n">
        <f aca="false">E5*(1+'Revenue Assumptions'!$B$7)</f>
        <v>7867.5968</v>
      </c>
      <c r="G5" s="25" t="n">
        <f aca="false">F5*(1+'Revenue Assumptions'!$B$7)</f>
        <v>8811.70841600001</v>
      </c>
      <c r="H5" s="25" t="n">
        <f aca="false">G5*(1+'Revenue Assumptions'!$B$7)</f>
        <v>9869.11342592001</v>
      </c>
      <c r="I5" s="25" t="n">
        <f aca="false">H5*(1+'Revenue Assumptions'!$B$7)</f>
        <v>11053.4070370304</v>
      </c>
      <c r="J5" s="25" t="n">
        <f aca="false">I5*(1+'Revenue Assumptions'!$B$7)</f>
        <v>12379.8158814741</v>
      </c>
      <c r="K5" s="25" t="n">
        <f aca="false">J5*(1+'Revenue Assumptions'!$B$7)</f>
        <v>13865.3937872509</v>
      </c>
      <c r="L5" s="25" t="n">
        <f aca="false">K5*(1+'Revenue Assumptions'!$B$7)</f>
        <v>15529.2410417211</v>
      </c>
      <c r="M5" s="25" t="n">
        <f aca="false">L5*(1+'Revenue Assumptions'!$B$7)</f>
        <v>17392.7499667276</v>
      </c>
    </row>
    <row r="6" customFormat="false" ht="15" hidden="false" customHeight="false" outlineLevel="0" collapsed="false">
      <c r="A6" s="26" t="s">
        <v>392</v>
      </c>
      <c r="B6" s="25" t="n">
        <f aca="false">B5</f>
        <v>5000</v>
      </c>
      <c r="C6" s="25" t="n">
        <f aca="false">B6*(1-'Revenue Assumptions'!$B$8)+C5</f>
        <v>10200</v>
      </c>
      <c r="D6" s="25" t="n">
        <f aca="false">C6*(1-'Revenue Assumptions'!$B$8)+D5</f>
        <v>15656</v>
      </c>
      <c r="E6" s="25" t="n">
        <f aca="false">D6*(1-'Revenue Assumptions'!$B$8)+E5</f>
        <v>21428.16</v>
      </c>
      <c r="F6" s="25" t="n">
        <f aca="false">E6*(1-'Revenue Assumptions'!$B$8)+F5</f>
        <v>27581.504</v>
      </c>
      <c r="G6" s="25" t="n">
        <f aca="false">F6*(1-'Revenue Assumptions'!$B$8)+G5</f>
        <v>34186.692096</v>
      </c>
      <c r="H6" s="25" t="n">
        <f aca="false">G6*(1-'Revenue Assumptions'!$B$8)+H5</f>
        <v>41320.87015424</v>
      </c>
      <c r="I6" s="25" t="n">
        <f aca="false">H6*(1-'Revenue Assumptions'!$B$8)+I5</f>
        <v>49068.6075789312</v>
      </c>
      <c r="J6" s="25" t="n">
        <f aca="false">I6*(1-'Revenue Assumptions'!$B$8)+J5</f>
        <v>57522.9348540908</v>
      </c>
      <c r="K6" s="25" t="n">
        <f aca="false">J6*(1-'Revenue Assumptions'!$B$8)+K5</f>
        <v>66786.4938530145</v>
      </c>
      <c r="L6" s="25" t="n">
        <f aca="false">K6*(1-'Revenue Assumptions'!$B$8)+L5</f>
        <v>76972.8153864944</v>
      </c>
      <c r="M6" s="25" t="n">
        <f aca="false">L6*(1-'Revenue Assumptions'!$B$8)+M5</f>
        <v>88207.7401223024</v>
      </c>
    </row>
    <row r="7" customFormat="false" ht="15" hidden="false" customHeight="false" outlineLevel="0" collapsed="false">
      <c r="A7" s="24" t="s">
        <v>393</v>
      </c>
      <c r="B7" s="25" t="n">
        <f aca="false">B6*'Revenue Assumptions'!$B$12</f>
        <v>200</v>
      </c>
      <c r="C7" s="25" t="n">
        <f aca="false">C6*'Revenue Assumptions'!$B$12</f>
        <v>408</v>
      </c>
      <c r="D7" s="25" t="n">
        <f aca="false">D6*'Revenue Assumptions'!$B$12</f>
        <v>626.24</v>
      </c>
      <c r="E7" s="25" t="n">
        <f aca="false">E6*'Revenue Assumptions'!$B$12</f>
        <v>857.1264</v>
      </c>
      <c r="F7" s="25" t="n">
        <f aca="false">F6*'Revenue Assumptions'!$B$12</f>
        <v>1103.26016</v>
      </c>
      <c r="G7" s="25" t="n">
        <f aca="false">G6*'Revenue Assumptions'!$B$12</f>
        <v>1367.46768384</v>
      </c>
      <c r="H7" s="25" t="n">
        <f aca="false">H6*'Revenue Assumptions'!$B$12</f>
        <v>1652.8348061696</v>
      </c>
      <c r="I7" s="25" t="n">
        <f aca="false">I6*'Revenue Assumptions'!$B$12</f>
        <v>1962.74430315725</v>
      </c>
      <c r="J7" s="25" t="n">
        <f aca="false">J6*'Revenue Assumptions'!$B$12</f>
        <v>2300.91739416363</v>
      </c>
      <c r="K7" s="25" t="n">
        <f aca="false">K6*'Revenue Assumptions'!$B$12</f>
        <v>2671.45975412058</v>
      </c>
      <c r="L7" s="25" t="n">
        <f aca="false">L6*'Revenue Assumptions'!$B$12</f>
        <v>3078.91261545978</v>
      </c>
      <c r="M7" s="25" t="n">
        <f aca="false">M6*'Revenue Assumptions'!$B$12</f>
        <v>3528.3096048921</v>
      </c>
    </row>
    <row r="8" customFormat="false" ht="15" hidden="false" customHeight="false" outlineLevel="0" collapsed="false">
      <c r="A8" s="26" t="s">
        <v>394</v>
      </c>
      <c r="B8" s="25" t="n">
        <f aca="false">B7*'Revenue Assumptions'!$B$13</f>
        <v>140</v>
      </c>
      <c r="C8" s="25" t="n">
        <f aca="false">C7*'Revenue Assumptions'!$B$13</f>
        <v>285.6</v>
      </c>
      <c r="D8" s="25" t="n">
        <f aca="false">D7*'Revenue Assumptions'!$B$13</f>
        <v>438.368</v>
      </c>
      <c r="E8" s="25" t="n">
        <f aca="false">E7*'Revenue Assumptions'!$B$13</f>
        <v>599.98848</v>
      </c>
      <c r="F8" s="25" t="n">
        <f aca="false">F7*'Revenue Assumptions'!$B$13</f>
        <v>772.282112</v>
      </c>
      <c r="G8" s="25" t="n">
        <f aca="false">G7*'Revenue Assumptions'!$B$13</f>
        <v>957.227378688</v>
      </c>
      <c r="H8" s="25" t="n">
        <f aca="false">H7*'Revenue Assumptions'!$B$13</f>
        <v>1156.98436431872</v>
      </c>
      <c r="I8" s="25" t="n">
        <f aca="false">I7*'Revenue Assumptions'!$B$13</f>
        <v>1373.92101221007</v>
      </c>
      <c r="J8" s="25" t="n">
        <f aca="false">J7*'Revenue Assumptions'!$B$13</f>
        <v>1610.64217591454</v>
      </c>
      <c r="K8" s="25" t="n">
        <f aca="false">K7*'Revenue Assumptions'!$B$13</f>
        <v>1870.02182788441</v>
      </c>
      <c r="L8" s="25" t="n">
        <f aca="false">L7*'Revenue Assumptions'!$B$13</f>
        <v>2155.23883082184</v>
      </c>
      <c r="M8" s="25" t="n">
        <f aca="false">M7*'Revenue Assumptions'!$B$13</f>
        <v>2469.81672342447</v>
      </c>
    </row>
    <row r="9" customFormat="false" ht="15" hidden="false" customHeight="false" outlineLevel="0" collapsed="false">
      <c r="A9" s="24" t="s">
        <v>395</v>
      </c>
      <c r="B9" s="25" t="n">
        <f aca="false">B7*'Revenue Assumptions'!$B$14</f>
        <v>60</v>
      </c>
      <c r="C9" s="25" t="n">
        <f aca="false">C7*'Revenue Assumptions'!$B$14</f>
        <v>122.4</v>
      </c>
      <c r="D9" s="25" t="n">
        <f aca="false">D7*'Revenue Assumptions'!$B$14</f>
        <v>187.872</v>
      </c>
      <c r="E9" s="25" t="n">
        <f aca="false">E7*'Revenue Assumptions'!$B$14</f>
        <v>257.13792</v>
      </c>
      <c r="F9" s="25" t="n">
        <f aca="false">F7*'Revenue Assumptions'!$B$14</f>
        <v>330.978048</v>
      </c>
      <c r="G9" s="25" t="n">
        <f aca="false">G7*'Revenue Assumptions'!$B$14</f>
        <v>410.240305152</v>
      </c>
      <c r="H9" s="25" t="n">
        <f aca="false">H7*'Revenue Assumptions'!$B$14</f>
        <v>495.85044185088</v>
      </c>
      <c r="I9" s="25" t="n">
        <f aca="false">I7*'Revenue Assumptions'!$B$14</f>
        <v>588.823290947175</v>
      </c>
      <c r="J9" s="25" t="n">
        <f aca="false">J7*'Revenue Assumptions'!$B$14</f>
        <v>690.27521824909</v>
      </c>
      <c r="K9" s="25" t="n">
        <f aca="false">K7*'Revenue Assumptions'!$B$14</f>
        <v>801.437926236174</v>
      </c>
      <c r="L9" s="25" t="n">
        <f aca="false">L7*'Revenue Assumptions'!$B$14</f>
        <v>923.673784637933</v>
      </c>
      <c r="M9" s="25" t="n">
        <f aca="false">M7*'Revenue Assumptions'!$B$14</f>
        <v>1058.49288146763</v>
      </c>
    </row>
    <row r="10" customFormat="false" ht="15" hidden="false" customHeight="false" outlineLevel="0" collapsed="false">
      <c r="A10" s="26" t="s">
        <v>396</v>
      </c>
      <c r="B10" s="27" t="n">
        <f aca="false">B8*'Revenue Assumptions'!$B$15+B9*'Revenue Assumptions'!$B$16</f>
        <v>1298</v>
      </c>
      <c r="C10" s="27" t="n">
        <f aca="false">C8*'Revenue Assumptions'!$B$15+C9*'Revenue Assumptions'!$B$16</f>
        <v>2647.92</v>
      </c>
      <c r="D10" s="27" t="n">
        <f aca="false">D8*'Revenue Assumptions'!$B$15+D9*'Revenue Assumptions'!$B$16</f>
        <v>4064.2976</v>
      </c>
      <c r="E10" s="27" t="n">
        <f aca="false">E8*'Revenue Assumptions'!$B$15+E9*'Revenue Assumptions'!$B$16</f>
        <v>5562.750336</v>
      </c>
      <c r="F10" s="27" t="n">
        <f aca="false">F8*'Revenue Assumptions'!$B$15+F9*'Revenue Assumptions'!$B$16</f>
        <v>7160.1584384</v>
      </c>
      <c r="G10" s="27" t="n">
        <f aca="false">G8*'Revenue Assumptions'!$B$15+G9*'Revenue Assumptions'!$B$16</f>
        <v>8874.8652681216</v>
      </c>
      <c r="H10" s="27" t="n">
        <f aca="false">H8*'Revenue Assumptions'!$B$15+H9*'Revenue Assumptions'!$B$16</f>
        <v>10726.8978920407</v>
      </c>
      <c r="I10" s="27" t="n">
        <f aca="false">I8*'Revenue Assumptions'!$B$15+I9*'Revenue Assumptions'!$B$16</f>
        <v>12738.2105274905</v>
      </c>
      <c r="J10" s="27" t="n">
        <f aca="false">J8*'Revenue Assumptions'!$B$15+J9*'Revenue Assumptions'!$B$16</f>
        <v>14932.953888122</v>
      </c>
      <c r="K10" s="27" t="n">
        <f aca="false">K8*'Revenue Assumptions'!$B$15+K9*'Revenue Assumptions'!$B$16</f>
        <v>17337.7738042426</v>
      </c>
      <c r="L10" s="27" t="n">
        <f aca="false">L8*'Revenue Assumptions'!$B$15+L9*'Revenue Assumptions'!$B$16</f>
        <v>19982.1428743339</v>
      </c>
      <c r="M10" s="27" t="n">
        <f aca="false">M8*'Revenue Assumptions'!$B$15+M9*'Revenue Assumptions'!$B$16</f>
        <v>22898.7293357497</v>
      </c>
    </row>
    <row r="11" customFormat="false" ht="15" hidden="false" customHeight="false" outlineLevel="0" collapsed="false">
      <c r="A11" s="24" t="s">
        <v>397</v>
      </c>
      <c r="B11" s="27" t="n">
        <f aca="false">(B6-B7)*'Revenue Assumptions'!$B$20*'Revenue Assumptions'!$B$21</f>
        <v>718.56</v>
      </c>
      <c r="C11" s="27" t="n">
        <f aca="false">(C6-C7)*'Revenue Assumptions'!$B$20*'Revenue Assumptions'!$B$21</f>
        <v>1465.8624</v>
      </c>
      <c r="D11" s="27" t="n">
        <f aca="false">(D6-D7)*'Revenue Assumptions'!$B$20*'Revenue Assumptions'!$B$21</f>
        <v>2249.955072</v>
      </c>
      <c r="E11" s="27" t="n">
        <f aca="false">(E6-E7)*'Revenue Assumptions'!$B$20*'Revenue Assumptions'!$B$21</f>
        <v>3079.48372992</v>
      </c>
      <c r="F11" s="27" t="n">
        <f aca="false">(F6-F7)*'Revenue Assumptions'!$B$20*'Revenue Assumptions'!$B$21</f>
        <v>3963.793102848</v>
      </c>
      <c r="G11" s="27" t="n">
        <f aca="false">(G6-G7)*'Revenue Assumptions'!$B$20*'Revenue Assumptions'!$B$21</f>
        <v>4913.03789450036</v>
      </c>
      <c r="H11" s="27" t="n">
        <f aca="false">(H6-H7)*'Revenue Assumptions'!$B$20*'Revenue Assumptions'!$B$21</f>
        <v>5938.30489160614</v>
      </c>
      <c r="I11" s="27" t="n">
        <f aca="false">(I6-I7)*'Revenue Assumptions'!$B$20*'Revenue Assumptions'!$B$21</f>
        <v>7051.74773238337</v>
      </c>
      <c r="J11" s="27" t="n">
        <f aca="false">(J6-J7)*'Revenue Assumptions'!$B$20*'Revenue Assumptions'!$B$21</f>
        <v>8266.7360137511</v>
      </c>
      <c r="K11" s="27" t="n">
        <f aca="false">(K6-K7)*'Revenue Assumptions'!$B$20*'Revenue Assumptions'!$B$21</f>
        <v>9598.02060460442</v>
      </c>
      <c r="L11" s="27" t="n">
        <f aca="false">(L6-L7)*'Revenue Assumptions'!$B$20*'Revenue Assumptions'!$B$21</f>
        <v>11061.9172448239</v>
      </c>
      <c r="M11" s="27" t="n">
        <f aca="false">(M6-M7)*'Revenue Assumptions'!$B$20*'Revenue Assumptions'!$B$21</f>
        <v>12676.5107484563</v>
      </c>
    </row>
    <row r="12" customFormat="false" ht="15" hidden="false" customHeight="false" outlineLevel="0" collapsed="false">
      <c r="A12" s="26" t="s">
        <v>398</v>
      </c>
      <c r="B12" s="27" t="n">
        <f aca="false">B7*'Revenue Assumptions'!$B$22*'Revenue Assumptions'!$B$23</f>
        <v>99.9</v>
      </c>
      <c r="C12" s="27" t="n">
        <f aca="false">C7*'Revenue Assumptions'!$B$22*'Revenue Assumptions'!$B$23</f>
        <v>203.796</v>
      </c>
      <c r="D12" s="27" t="n">
        <f aca="false">D7*'Revenue Assumptions'!$B$22*'Revenue Assumptions'!$B$23</f>
        <v>312.80688</v>
      </c>
      <c r="E12" s="27" t="n">
        <f aca="false">E7*'Revenue Assumptions'!$B$22*'Revenue Assumptions'!$B$23</f>
        <v>428.1346368</v>
      </c>
      <c r="F12" s="27" t="n">
        <f aca="false">F7*'Revenue Assumptions'!$B$22*'Revenue Assumptions'!$B$23</f>
        <v>551.07844992</v>
      </c>
      <c r="G12" s="27" t="n">
        <f aca="false">G7*'Revenue Assumptions'!$B$22*'Revenue Assumptions'!$B$23</f>
        <v>683.05010807808</v>
      </c>
      <c r="H12" s="27" t="n">
        <f aca="false">H7*'Revenue Assumptions'!$B$22*'Revenue Assumptions'!$B$23</f>
        <v>825.590985681716</v>
      </c>
      <c r="I12" s="27" t="n">
        <f aca="false">I7*'Revenue Assumptions'!$B$22*'Revenue Assumptions'!$B$23</f>
        <v>980.390779427046</v>
      </c>
      <c r="J12" s="27" t="n">
        <f aca="false">J7*'Revenue Assumptions'!$B$22*'Revenue Assumptions'!$B$23</f>
        <v>1149.30823838473</v>
      </c>
      <c r="K12" s="27" t="n">
        <f aca="false">K7*'Revenue Assumptions'!$B$22*'Revenue Assumptions'!$B$23</f>
        <v>1334.39414718323</v>
      </c>
      <c r="L12" s="27" t="n">
        <f aca="false">L7*'Revenue Assumptions'!$B$22*'Revenue Assumptions'!$B$23</f>
        <v>1537.91685142216</v>
      </c>
      <c r="M12" s="27" t="n">
        <f aca="false">M7*'Revenue Assumptions'!$B$22*'Revenue Assumptions'!$B$23</f>
        <v>1762.3906476436</v>
      </c>
    </row>
    <row r="13" customFormat="false" ht="15" hidden="false" customHeight="false" outlineLevel="0" collapsed="false">
      <c r="A13" s="28" t="s">
        <v>399</v>
      </c>
      <c r="B13" s="29" t="n">
        <f aca="false">B10+B11+B12</f>
        <v>2116.46</v>
      </c>
      <c r="C13" s="29" t="n">
        <f aca="false">C10+C11+C12</f>
        <v>4317.5784</v>
      </c>
      <c r="D13" s="29" t="n">
        <f aca="false">D10+D11+D12</f>
        <v>6627.059552</v>
      </c>
      <c r="E13" s="29" t="n">
        <f aca="false">E10+E11+E12</f>
        <v>9070.36870272</v>
      </c>
      <c r="F13" s="29" t="n">
        <f aca="false">F10+F11+F12</f>
        <v>11675.029991168</v>
      </c>
      <c r="G13" s="29" t="n">
        <f aca="false">G10+G11+G12</f>
        <v>14470.9532707</v>
      </c>
      <c r="H13" s="29" t="n">
        <f aca="false">H10+H11+H12</f>
        <v>17490.7937693286</v>
      </c>
      <c r="I13" s="29" t="n">
        <f aca="false">I10+I11+I12</f>
        <v>20770.349039301</v>
      </c>
      <c r="J13" s="29" t="n">
        <f aca="false">J10+J11+J12</f>
        <v>24348.9981402578</v>
      </c>
      <c r="K13" s="29" t="n">
        <f aca="false">K10+K11+K12</f>
        <v>28270.1885560302</v>
      </c>
      <c r="L13" s="29" t="n">
        <f aca="false">L10+L11+L12</f>
        <v>32581.97697058</v>
      </c>
      <c r="M13" s="29" t="n">
        <f aca="false">M10+M11+M12</f>
        <v>37337.6307318496</v>
      </c>
    </row>
    <row r="14" customFormat="false" ht="15" hidden="false" customHeight="false" outlineLevel="0" collapsed="false">
      <c r="A14" s="28" t="s">
        <v>400</v>
      </c>
      <c r="B14" s="29" t="n">
        <f aca="false">B13</f>
        <v>2116.46</v>
      </c>
      <c r="C14" s="29" t="n">
        <f aca="false">B14+C13</f>
        <v>6434.0384</v>
      </c>
      <c r="D14" s="29" t="n">
        <f aca="false">C14+D13</f>
        <v>13061.097952</v>
      </c>
      <c r="E14" s="29" t="n">
        <f aca="false">D14+E13</f>
        <v>22131.46665472</v>
      </c>
      <c r="F14" s="29" t="n">
        <f aca="false">E14+F13</f>
        <v>33806.496645888</v>
      </c>
      <c r="G14" s="29" t="n">
        <f aca="false">F14+G13</f>
        <v>48277.449916588</v>
      </c>
      <c r="H14" s="29" t="n">
        <f aca="false">G14+H13</f>
        <v>65768.2436859166</v>
      </c>
      <c r="I14" s="29" t="n">
        <f aca="false">H14+I13</f>
        <v>86538.5927252176</v>
      </c>
      <c r="J14" s="29" t="n">
        <f aca="false">I14+J13</f>
        <v>110887.590865475</v>
      </c>
      <c r="K14" s="29" t="n">
        <f aca="false">J14+K13</f>
        <v>139157.779421506</v>
      </c>
      <c r="L14" s="29" t="n">
        <f aca="false">K14+L13</f>
        <v>171739.756392086</v>
      </c>
      <c r="M14" s="29" t="n">
        <f aca="false">L14+M13</f>
        <v>209077.387123935</v>
      </c>
    </row>
    <row r="16" customFormat="false" ht="19.5" hidden="false" customHeight="true" outlineLevel="0" collapsed="false">
      <c r="A16" s="3" t="s">
        <v>401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5" hidden="false" customHeight="false" outlineLevel="0" collapsed="false">
      <c r="A17" s="30" t="s">
        <v>402</v>
      </c>
      <c r="B17" s="31" t="n">
        <f aca="false">M14</f>
        <v>209077.387123935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customFormat="false" ht="15" hidden="false" customHeight="false" outlineLevel="0" collapsed="false">
      <c r="A18" s="30" t="s">
        <v>403</v>
      </c>
      <c r="B18" s="32" t="n">
        <f aca="false">M6</f>
        <v>88207.7401223024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</sheetData>
  <mergeCells count="5">
    <mergeCell ref="A1:M1"/>
    <mergeCell ref="A2:M2"/>
    <mergeCell ref="A16:M16"/>
    <mergeCell ref="B17:M17"/>
    <mergeCell ref="B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30</v>
      </c>
      <c r="B1" s="1"/>
      <c r="C1" s="1"/>
    </row>
    <row r="2" customFormat="false" ht="15" hidden="false" customHeight="false" outlineLevel="0" collapsed="false">
      <c r="A2" s="2" t="s">
        <v>404</v>
      </c>
      <c r="B2" s="2"/>
      <c r="C2" s="2"/>
    </row>
    <row r="4" customFormat="false" ht="30" hidden="false" customHeight="true" outlineLevel="0" collapsed="false">
      <c r="A4" s="9" t="s">
        <v>378</v>
      </c>
      <c r="B4" s="9" t="s">
        <v>343</v>
      </c>
      <c r="C4" s="9" t="s">
        <v>405</v>
      </c>
    </row>
    <row r="5" customFormat="false" ht="15" hidden="false" customHeight="false" outlineLevel="0" collapsed="false">
      <c r="A5" s="33" t="s">
        <v>406</v>
      </c>
      <c r="B5" s="34" t="n">
        <f aca="false">'Revenue Assumptions'!$B$13*'Revenue Assumptions'!$B$15+'Revenue Assumptions'!$B$14*'Revenue Assumptions'!$B$16</f>
        <v>6.49</v>
      </c>
      <c r="C5" s="20" t="s">
        <v>407</v>
      </c>
    </row>
    <row r="6" customFormat="false" ht="15" hidden="false" customHeight="false" outlineLevel="0" collapsed="false">
      <c r="A6" s="33" t="s">
        <v>408</v>
      </c>
      <c r="B6" s="35" t="n">
        <f aca="false">'Revenue Assumptions'!$B$28</f>
        <v>8</v>
      </c>
      <c r="C6" s="20" t="s">
        <v>409</v>
      </c>
    </row>
    <row r="7" customFormat="false" ht="22.35" hidden="false" customHeight="false" outlineLevel="0" collapsed="false">
      <c r="A7" s="33" t="s">
        <v>410</v>
      </c>
      <c r="B7" s="34" t="n">
        <f aca="false">B5*B6</f>
        <v>51.92</v>
      </c>
      <c r="C7" s="20" t="s">
        <v>411</v>
      </c>
    </row>
    <row r="8" customFormat="false" ht="22.35" hidden="false" customHeight="false" outlineLevel="0" collapsed="false">
      <c r="A8" s="33" t="s">
        <v>412</v>
      </c>
      <c r="B8" s="34" t="n">
        <f aca="false">'Revenue Assumptions'!$B$27</f>
        <v>2.5</v>
      </c>
      <c r="C8" s="20" t="s">
        <v>413</v>
      </c>
    </row>
    <row r="9" customFormat="false" ht="22.35" hidden="false" customHeight="false" outlineLevel="0" collapsed="false">
      <c r="A9" s="36" t="s">
        <v>414</v>
      </c>
      <c r="B9" s="37" t="n">
        <f aca="false">B7/B8</f>
        <v>20.768</v>
      </c>
      <c r="C9" s="20" t="s">
        <v>415</v>
      </c>
    </row>
    <row r="10" customFormat="false" ht="22.35" hidden="false" customHeight="false" outlineLevel="0" collapsed="false">
      <c r="A10" s="36" t="s">
        <v>416</v>
      </c>
      <c r="B10" s="38" t="n">
        <f aca="false">IF(B5=0,"n/a",B8/B5)</f>
        <v>0.385208012326656</v>
      </c>
      <c r="C10" s="20" t="s">
        <v>417</v>
      </c>
    </row>
    <row r="12" customFormat="false" ht="22.35" hidden="false" customHeight="true" outlineLevel="0" collapsed="false">
      <c r="A12" s="12" t="s">
        <v>418</v>
      </c>
      <c r="B12" s="12"/>
      <c r="C12" s="12"/>
    </row>
  </sheetData>
  <mergeCells count="3">
    <mergeCell ref="A1:C1"/>
    <mergeCell ref="A2:C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32</v>
      </c>
      <c r="B1" s="1"/>
    </row>
    <row r="2" customFormat="false" ht="15" hidden="false" customHeight="false" outlineLevel="0" collapsed="false">
      <c r="A2" s="2" t="s">
        <v>419</v>
      </c>
      <c r="B2" s="2"/>
    </row>
    <row r="4" customFormat="false" ht="19.5" hidden="false" customHeight="true" outlineLevel="0" collapsed="false">
      <c r="A4" s="3" t="s">
        <v>420</v>
      </c>
      <c r="B4" s="3"/>
    </row>
    <row r="5" customFormat="false" ht="26.85" hidden="false" customHeight="false" outlineLevel="0" collapsed="false">
      <c r="A5" s="10" t="s">
        <v>421</v>
      </c>
      <c r="B5" s="6" t="s">
        <v>422</v>
      </c>
    </row>
    <row r="6" customFormat="false" ht="39.55" hidden="false" customHeight="false" outlineLevel="0" collapsed="false">
      <c r="A6" s="11" t="s">
        <v>423</v>
      </c>
      <c r="B6" s="8" t="s">
        <v>424</v>
      </c>
    </row>
    <row r="7" customFormat="false" ht="26.85" hidden="false" customHeight="false" outlineLevel="0" collapsed="false">
      <c r="A7" s="10" t="s">
        <v>425</v>
      </c>
      <c r="B7" s="6" t="s">
        <v>426</v>
      </c>
    </row>
    <row r="8" customFormat="false" ht="26.85" hidden="false" customHeight="false" outlineLevel="0" collapsed="false">
      <c r="A8" s="11" t="s">
        <v>427</v>
      </c>
      <c r="B8" s="8" t="s">
        <v>428</v>
      </c>
    </row>
    <row r="9" customFormat="false" ht="26.85" hidden="false" customHeight="false" outlineLevel="0" collapsed="false">
      <c r="A9" s="10" t="s">
        <v>429</v>
      </c>
      <c r="B9" s="6" t="s">
        <v>430</v>
      </c>
    </row>
    <row r="11" customFormat="false" ht="19.5" hidden="false" customHeight="true" outlineLevel="0" collapsed="false">
      <c r="A11" s="3" t="s">
        <v>431</v>
      </c>
      <c r="B11" s="3"/>
    </row>
    <row r="12" customFormat="false" ht="15" hidden="false" customHeight="true" outlineLevel="0" collapsed="false">
      <c r="A12" s="4" t="s">
        <v>432</v>
      </c>
      <c r="B12" s="4"/>
    </row>
    <row r="13" customFormat="false" ht="15" hidden="false" customHeight="false" outlineLevel="0" collapsed="false">
      <c r="A13" s="4"/>
      <c r="B13" s="4"/>
    </row>
    <row r="14" customFormat="false" ht="15" hidden="false" customHeight="false" outlineLevel="0" collapsed="false">
      <c r="A14" s="4"/>
      <c r="B14" s="4"/>
    </row>
    <row r="15" customFormat="false" ht="15" hidden="false" customHeight="false" outlineLevel="0" collapsed="false">
      <c r="A15" s="4"/>
      <c r="B15" s="4"/>
    </row>
    <row r="17" customFormat="false" ht="19.5" hidden="false" customHeight="true" outlineLevel="0" collapsed="false">
      <c r="A17" s="3" t="s">
        <v>433</v>
      </c>
      <c r="B17" s="3"/>
    </row>
    <row r="18" customFormat="false" ht="30" hidden="false" customHeight="true" outlineLevel="0" collapsed="false">
      <c r="A18" s="9" t="s">
        <v>434</v>
      </c>
      <c r="B18" s="9" t="s">
        <v>435</v>
      </c>
      <c r="C18" s="9" t="s">
        <v>436</v>
      </c>
    </row>
    <row r="19" customFormat="false" ht="153.7" hidden="false" customHeight="false" outlineLevel="0" collapsed="false">
      <c r="A19" s="6" t="s">
        <v>437</v>
      </c>
      <c r="B19" s="6" t="s">
        <v>438</v>
      </c>
      <c r="C19" s="6" t="s">
        <v>439</v>
      </c>
    </row>
    <row r="20" customFormat="false" ht="141" hidden="false" customHeight="false" outlineLevel="0" collapsed="false">
      <c r="A20" s="8" t="s">
        <v>440</v>
      </c>
      <c r="B20" s="8" t="s">
        <v>441</v>
      </c>
      <c r="C20" s="8" t="s">
        <v>442</v>
      </c>
    </row>
    <row r="21" customFormat="false" ht="141" hidden="false" customHeight="false" outlineLevel="0" collapsed="false">
      <c r="A21" s="6" t="s">
        <v>443</v>
      </c>
      <c r="B21" s="6" t="s">
        <v>444</v>
      </c>
      <c r="C21" s="6" t="s">
        <v>445</v>
      </c>
    </row>
    <row r="22" customFormat="false" ht="115.65" hidden="false" customHeight="false" outlineLevel="0" collapsed="false">
      <c r="A22" s="8" t="s">
        <v>446</v>
      </c>
      <c r="B22" s="8" t="s">
        <v>447</v>
      </c>
      <c r="C22" s="8" t="s">
        <v>448</v>
      </c>
    </row>
    <row r="24" customFormat="false" ht="19.5" hidden="false" customHeight="true" outlineLevel="0" collapsed="false">
      <c r="A24" s="3" t="s">
        <v>449</v>
      </c>
      <c r="B24" s="3"/>
    </row>
    <row r="25" customFormat="false" ht="30" hidden="false" customHeight="true" outlineLevel="0" collapsed="false">
      <c r="A25" s="9" t="s">
        <v>450</v>
      </c>
      <c r="B25" s="9" t="s">
        <v>451</v>
      </c>
    </row>
    <row r="26" customFormat="false" ht="26.85" hidden="false" customHeight="false" outlineLevel="0" collapsed="false">
      <c r="A26" s="6" t="s">
        <v>452</v>
      </c>
      <c r="B26" s="6" t="s">
        <v>453</v>
      </c>
    </row>
    <row r="27" customFormat="false" ht="26.85" hidden="false" customHeight="false" outlineLevel="0" collapsed="false">
      <c r="A27" s="8" t="s">
        <v>454</v>
      </c>
      <c r="B27" s="8" t="s">
        <v>455</v>
      </c>
    </row>
    <row r="28" customFormat="false" ht="26.85" hidden="false" customHeight="false" outlineLevel="0" collapsed="false">
      <c r="A28" s="6" t="s">
        <v>456</v>
      </c>
      <c r="B28" s="6" t="s">
        <v>457</v>
      </c>
    </row>
    <row r="29" customFormat="false" ht="26.85" hidden="false" customHeight="false" outlineLevel="0" collapsed="false">
      <c r="A29" s="8" t="s">
        <v>458</v>
      </c>
      <c r="B29" s="8" t="s">
        <v>459</v>
      </c>
    </row>
  </sheetData>
  <mergeCells count="7">
    <mergeCell ref="A1:B1"/>
    <mergeCell ref="A2:B2"/>
    <mergeCell ref="A4:B4"/>
    <mergeCell ref="A11:B11"/>
    <mergeCell ref="A12:B15"/>
    <mergeCell ref="A17:B17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56"/>
  </cols>
  <sheetData>
    <row r="1" customFormat="false" ht="25.5" hidden="false" customHeight="true" outlineLevel="0" collapsed="false">
      <c r="A1" s="1" t="s">
        <v>34</v>
      </c>
      <c r="B1" s="1"/>
      <c r="C1" s="1"/>
    </row>
    <row r="2" customFormat="false" ht="15" hidden="false" customHeight="false" outlineLevel="0" collapsed="false">
      <c r="A2" s="2" t="s">
        <v>460</v>
      </c>
      <c r="B2" s="2"/>
      <c r="C2" s="2"/>
    </row>
    <row r="4" customFormat="false" ht="30" hidden="false" customHeight="true" outlineLevel="0" collapsed="false">
      <c r="A4" s="9" t="s">
        <v>461</v>
      </c>
      <c r="B4" s="9" t="s">
        <v>462</v>
      </c>
      <c r="C4" s="9" t="s">
        <v>463</v>
      </c>
    </row>
    <row r="5" customFormat="false" ht="26.85" hidden="false" customHeight="false" outlineLevel="0" collapsed="false">
      <c r="A5" s="6" t="s">
        <v>464</v>
      </c>
      <c r="B5" s="6" t="s">
        <v>465</v>
      </c>
      <c r="C5" s="6" t="s">
        <v>466</v>
      </c>
    </row>
    <row r="6" customFormat="false" ht="26.85" hidden="false" customHeight="false" outlineLevel="0" collapsed="false">
      <c r="A6" s="8" t="s">
        <v>467</v>
      </c>
      <c r="B6" s="8" t="s">
        <v>468</v>
      </c>
      <c r="C6" s="8" t="s">
        <v>469</v>
      </c>
    </row>
    <row r="7" customFormat="false" ht="26.85" hidden="false" customHeight="false" outlineLevel="0" collapsed="false">
      <c r="A7" s="6" t="s">
        <v>470</v>
      </c>
      <c r="B7" s="6" t="s">
        <v>471</v>
      </c>
      <c r="C7" s="6" t="s">
        <v>472</v>
      </c>
    </row>
    <row r="8" customFormat="false" ht="26.85" hidden="false" customHeight="false" outlineLevel="0" collapsed="false">
      <c r="A8" s="8" t="s">
        <v>473</v>
      </c>
      <c r="B8" s="8" t="s">
        <v>474</v>
      </c>
      <c r="C8" s="8" t="s">
        <v>475</v>
      </c>
    </row>
    <row r="9" customFormat="false" ht="39.55" hidden="false" customHeight="false" outlineLevel="0" collapsed="false">
      <c r="A9" s="6" t="s">
        <v>476</v>
      </c>
      <c r="B9" s="6" t="s">
        <v>477</v>
      </c>
      <c r="C9" s="6" t="s">
        <v>478</v>
      </c>
    </row>
    <row r="10" customFormat="false" ht="39.55" hidden="false" customHeight="false" outlineLevel="0" collapsed="false">
      <c r="A10" s="8" t="s">
        <v>479</v>
      </c>
      <c r="B10" s="8" t="s">
        <v>480</v>
      </c>
      <c r="C10" s="8" t="s">
        <v>481</v>
      </c>
    </row>
    <row r="12" customFormat="false" ht="19.5" hidden="false" customHeight="true" outlineLevel="0" collapsed="false">
      <c r="A12" s="3" t="s">
        <v>482</v>
      </c>
      <c r="B12" s="3"/>
      <c r="C12" s="3"/>
    </row>
    <row r="13" customFormat="false" ht="15" hidden="false" customHeight="true" outlineLevel="0" collapsed="false">
      <c r="A13" s="4" t="s">
        <v>483</v>
      </c>
      <c r="B13" s="4"/>
      <c r="C13" s="4"/>
    </row>
    <row r="14" customFormat="false" ht="15" hidden="false" customHeight="true" outlineLevel="0" collapsed="false">
      <c r="A14" s="4" t="s">
        <v>484</v>
      </c>
      <c r="B14" s="4"/>
      <c r="C14" s="4"/>
    </row>
    <row r="15" customFormat="false" ht="15" hidden="false" customHeight="true" outlineLevel="0" collapsed="false">
      <c r="A15" s="4" t="s">
        <v>485</v>
      </c>
      <c r="B15" s="4"/>
      <c r="C15" s="4"/>
    </row>
    <row r="16" customFormat="false" ht="15" hidden="false" customHeight="true" outlineLevel="0" collapsed="false">
      <c r="A16" s="4" t="s">
        <v>486</v>
      </c>
      <c r="B16" s="4"/>
      <c r="C16" s="4"/>
    </row>
    <row r="17" customFormat="false" ht="26.85" hidden="false" customHeight="true" outlineLevel="0" collapsed="false">
      <c r="A17" s="4" t="s">
        <v>487</v>
      </c>
      <c r="B17" s="4"/>
      <c r="C17" s="4"/>
    </row>
  </sheetData>
  <mergeCells count="8">
    <mergeCell ref="A1:C1"/>
    <mergeCell ref="A2:C2"/>
    <mergeCell ref="A12:C12"/>
    <mergeCell ref="A13:C13"/>
    <mergeCell ref="A14:C14"/>
    <mergeCell ref="A15:C15"/>
    <mergeCell ref="A16:C16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2026-09-14T15:20:00Z</dcterms:created>
  <dc:creator>openpyxl</dc:creator>
  <dc:description/>
  <dc:language>en-US</dc:language>
  <cp:lastModifiedBy/>
  <dcterms:modified xsi:type="dcterms:W3CDTF">2026-09-14T15:20:01Z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